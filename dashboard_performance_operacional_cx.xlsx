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1_Base" sheetId="1" state="visible" r:id="rId3"/>
    <sheet name="02_Parâmetros" sheetId="2" state="visible" r:id="rId4"/>
    <sheet name="03_Dashboard" sheetId="3" state="visible" r:id="rId5"/>
    <sheet name="04_Validacao" sheetId="4" state="visible" r:id="rId6"/>
  </sheets>
  <definedNames>
    <definedName function="false" hidden="false" localSheetId="2" name="_xlnm.Print_Area" vbProcedure="false">03_Dashboard!$A$1:$T$69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<sst xmlns="http://schemas.openxmlformats.org/spreadsheetml/2006/main" count="8588" uniqueCount="1364">
  <si>
    <t xml:space="preserve">ID_Atendimento</t>
  </si>
  <si>
    <t xml:space="preserve">Data_Abertura</t>
  </si>
  <si>
    <t xml:space="preserve">Canal</t>
  </si>
  <si>
    <t xml:space="preserve">Equipe</t>
  </si>
  <si>
    <t xml:space="preserve">Atendente</t>
  </si>
  <si>
    <t xml:space="preserve">Motivo</t>
  </si>
  <si>
    <t xml:space="preserve">Status</t>
  </si>
  <si>
    <t xml:space="preserve">Tempo_1a_Resposta_min</t>
  </si>
  <si>
    <t xml:space="preserve">Tempo_Atendimento_min</t>
  </si>
  <si>
    <t xml:space="preserve">Resolvido_1o_Contato</t>
  </si>
  <si>
    <t xml:space="preserve">Nota_CSAT</t>
  </si>
  <si>
    <t xml:space="preserve">Semana</t>
  </si>
  <si>
    <t xml:space="preserve">Prazo_SLA_min</t>
  </si>
  <si>
    <t xml:space="preserve">Dentro_SLA</t>
  </si>
  <si>
    <t xml:space="preserve">AT-00001</t>
  </si>
  <si>
    <t xml:space="preserve">Telefone</t>
  </si>
  <si>
    <t xml:space="preserve">Equipe A</t>
  </si>
  <si>
    <t xml:space="preserve">Analista 01</t>
  </si>
  <si>
    <t xml:space="preserve">Atraso na entrega</t>
  </si>
  <si>
    <t xml:space="preserve">Resolvido</t>
  </si>
  <si>
    <t xml:space="preserve">Sim</t>
  </si>
  <si>
    <t xml:space="preserve">AT-00002</t>
  </si>
  <si>
    <t xml:space="preserve">Equipe C</t>
  </si>
  <si>
    <t xml:space="preserve">Analista 07</t>
  </si>
  <si>
    <t xml:space="preserve">Produto incorreto ou avariado</t>
  </si>
  <si>
    <t xml:space="preserve">Não</t>
  </si>
  <si>
    <t xml:space="preserve">AT-00003</t>
  </si>
  <si>
    <t xml:space="preserve">WhatsApp</t>
  </si>
  <si>
    <t xml:space="preserve">Analista 08</t>
  </si>
  <si>
    <t xml:space="preserve">AT-00004</t>
  </si>
  <si>
    <t xml:space="preserve">AT-00005</t>
  </si>
  <si>
    <t xml:space="preserve">Analista 03</t>
  </si>
  <si>
    <t xml:space="preserve">Dúvida sobre o pedido</t>
  </si>
  <si>
    <t xml:space="preserve">AT-00006</t>
  </si>
  <si>
    <t xml:space="preserve">Cadastro ou acesso</t>
  </si>
  <si>
    <t xml:space="preserve">AT-00007</t>
  </si>
  <si>
    <t xml:space="preserve">Analista 02</t>
  </si>
  <si>
    <t xml:space="preserve">AT-00008</t>
  </si>
  <si>
    <t xml:space="preserve">Equipe B</t>
  </si>
  <si>
    <t xml:space="preserve">Analista 04</t>
  </si>
  <si>
    <t xml:space="preserve">AT-00009</t>
  </si>
  <si>
    <t xml:space="preserve">E-mail</t>
  </si>
  <si>
    <t xml:space="preserve">Cobrança ou pagamento</t>
  </si>
  <si>
    <t xml:space="preserve">AT-00010</t>
  </si>
  <si>
    <t xml:space="preserve">Chat</t>
  </si>
  <si>
    <t xml:space="preserve">AT-00011</t>
  </si>
  <si>
    <t xml:space="preserve">AT-00012</t>
  </si>
  <si>
    <t xml:space="preserve">Analista 06</t>
  </si>
  <si>
    <t xml:space="preserve">AT-00013</t>
  </si>
  <si>
    <t xml:space="preserve">AT-00014</t>
  </si>
  <si>
    <t xml:space="preserve">AT-00015</t>
  </si>
  <si>
    <t xml:space="preserve">AT-00016</t>
  </si>
  <si>
    <t xml:space="preserve">AT-00017</t>
  </si>
  <si>
    <t xml:space="preserve">AT-00018</t>
  </si>
  <si>
    <t xml:space="preserve">AT-00019</t>
  </si>
  <si>
    <t xml:space="preserve">AT-00020</t>
  </si>
  <si>
    <t xml:space="preserve">Analista 05</t>
  </si>
  <si>
    <t xml:space="preserve">AT-00021</t>
  </si>
  <si>
    <t xml:space="preserve">AT-00022</t>
  </si>
  <si>
    <t xml:space="preserve">AT-00023</t>
  </si>
  <si>
    <t xml:space="preserve">AT-00024</t>
  </si>
  <si>
    <t xml:space="preserve">AT-00025</t>
  </si>
  <si>
    <t xml:space="preserve">AT-00026</t>
  </si>
  <si>
    <t xml:space="preserve">AT-00027</t>
  </si>
  <si>
    <t xml:space="preserve">AT-00028</t>
  </si>
  <si>
    <t xml:space="preserve">AT-00029</t>
  </si>
  <si>
    <t xml:space="preserve">AT-00030</t>
  </si>
  <si>
    <t xml:space="preserve">AT-00031</t>
  </si>
  <si>
    <t xml:space="preserve">AT-00032</t>
  </si>
  <si>
    <t xml:space="preserve">AT-00033</t>
  </si>
  <si>
    <t xml:space="preserve">Cancelamento</t>
  </si>
  <si>
    <t xml:space="preserve">AT-00034</t>
  </si>
  <si>
    <t xml:space="preserve">AT-00035</t>
  </si>
  <si>
    <t xml:space="preserve">AT-00036</t>
  </si>
  <si>
    <t xml:space="preserve">AT-00037</t>
  </si>
  <si>
    <t xml:space="preserve">AT-00038</t>
  </si>
  <si>
    <t xml:space="preserve">AT-00039</t>
  </si>
  <si>
    <t xml:space="preserve">AT-00040</t>
  </si>
  <si>
    <t xml:space="preserve">Pendente</t>
  </si>
  <si>
    <t xml:space="preserve">AT-00041</t>
  </si>
  <si>
    <t xml:space="preserve">AT-00042</t>
  </si>
  <si>
    <t xml:space="preserve">AT-00043</t>
  </si>
  <si>
    <t xml:space="preserve">AT-00044</t>
  </si>
  <si>
    <t xml:space="preserve">AT-00045</t>
  </si>
  <si>
    <t xml:space="preserve">AT-00046</t>
  </si>
  <si>
    <t xml:space="preserve">AT-00047</t>
  </si>
  <si>
    <t xml:space="preserve">AT-00048</t>
  </si>
  <si>
    <t xml:space="preserve">AT-00049</t>
  </si>
  <si>
    <t xml:space="preserve">AT-00050</t>
  </si>
  <si>
    <t xml:space="preserve">AT-00051</t>
  </si>
  <si>
    <t xml:space="preserve">AT-00052</t>
  </si>
  <si>
    <t xml:space="preserve">AT-00053</t>
  </si>
  <si>
    <t xml:space="preserve">AT-00054</t>
  </si>
  <si>
    <t xml:space="preserve">AT-00055</t>
  </si>
  <si>
    <t xml:space="preserve">AT-00056</t>
  </si>
  <si>
    <t xml:space="preserve">AT-00057</t>
  </si>
  <si>
    <t xml:space="preserve">AT-00058</t>
  </si>
  <si>
    <t xml:space="preserve">AT-00059</t>
  </si>
  <si>
    <t xml:space="preserve">AT-00060</t>
  </si>
  <si>
    <t xml:space="preserve">AT-00061</t>
  </si>
  <si>
    <t xml:space="preserve">AT-00062</t>
  </si>
  <si>
    <t xml:space="preserve">AT-00063</t>
  </si>
  <si>
    <t xml:space="preserve">AT-00064</t>
  </si>
  <si>
    <t xml:space="preserve">AT-00065</t>
  </si>
  <si>
    <t xml:space="preserve">AT-00066</t>
  </si>
  <si>
    <t xml:space="preserve">AT-00067</t>
  </si>
  <si>
    <t xml:space="preserve">AT-00068</t>
  </si>
  <si>
    <t xml:space="preserve">AT-00069</t>
  </si>
  <si>
    <t xml:space="preserve">AT-00070</t>
  </si>
  <si>
    <t xml:space="preserve">AT-00071</t>
  </si>
  <si>
    <t xml:space="preserve">AT-00072</t>
  </si>
  <si>
    <t xml:space="preserve">AT-00073</t>
  </si>
  <si>
    <t xml:space="preserve">AT-00074</t>
  </si>
  <si>
    <t xml:space="preserve">AT-00075</t>
  </si>
  <si>
    <t xml:space="preserve">AT-00076</t>
  </si>
  <si>
    <t xml:space="preserve">AT-00077</t>
  </si>
  <si>
    <t xml:space="preserve">AT-00078</t>
  </si>
  <si>
    <t xml:space="preserve">AT-00079</t>
  </si>
  <si>
    <t xml:space="preserve">AT-00080</t>
  </si>
  <si>
    <t xml:space="preserve">AT-00081</t>
  </si>
  <si>
    <t xml:space="preserve">AT-00082</t>
  </si>
  <si>
    <t xml:space="preserve">AT-00083</t>
  </si>
  <si>
    <t xml:space="preserve">AT-00084</t>
  </si>
  <si>
    <t xml:space="preserve">AT-00085</t>
  </si>
  <si>
    <t xml:space="preserve">AT-00086</t>
  </si>
  <si>
    <t xml:space="preserve">AT-00087</t>
  </si>
  <si>
    <t xml:space="preserve">AT-00088</t>
  </si>
  <si>
    <t xml:space="preserve">AT-00089</t>
  </si>
  <si>
    <t xml:space="preserve">AT-00090</t>
  </si>
  <si>
    <t xml:space="preserve">AT-00091</t>
  </si>
  <si>
    <t xml:space="preserve">AT-00092</t>
  </si>
  <si>
    <t xml:space="preserve">AT-00093</t>
  </si>
  <si>
    <t xml:space="preserve">AT-00094</t>
  </si>
  <si>
    <t xml:space="preserve">AT-00095</t>
  </si>
  <si>
    <t xml:space="preserve">AT-00096</t>
  </si>
  <si>
    <t xml:space="preserve">AT-00097</t>
  </si>
  <si>
    <t xml:space="preserve">AT-00098</t>
  </si>
  <si>
    <t xml:space="preserve">AT-00099</t>
  </si>
  <si>
    <t xml:space="preserve">AT-00100</t>
  </si>
  <si>
    <t xml:space="preserve">AT-00101</t>
  </si>
  <si>
    <t xml:space="preserve">AT-00102</t>
  </si>
  <si>
    <t xml:space="preserve">AT-00103</t>
  </si>
  <si>
    <t xml:space="preserve">AT-00104</t>
  </si>
  <si>
    <t xml:space="preserve">AT-00105</t>
  </si>
  <si>
    <t xml:space="preserve">AT-00106</t>
  </si>
  <si>
    <t xml:space="preserve">AT-00107</t>
  </si>
  <si>
    <t xml:space="preserve">AT-00108</t>
  </si>
  <si>
    <t xml:space="preserve">AT-00109</t>
  </si>
  <si>
    <t xml:space="preserve">AT-00110</t>
  </si>
  <si>
    <t xml:space="preserve">AT-00111</t>
  </si>
  <si>
    <t xml:space="preserve">AT-00112</t>
  </si>
  <si>
    <t xml:space="preserve">AT-00113</t>
  </si>
  <si>
    <t xml:space="preserve">AT-00114</t>
  </si>
  <si>
    <t xml:space="preserve">AT-00115</t>
  </si>
  <si>
    <t xml:space="preserve">AT-00116</t>
  </si>
  <si>
    <t xml:space="preserve">AT-00117</t>
  </si>
  <si>
    <t xml:space="preserve">AT-00118</t>
  </si>
  <si>
    <t xml:space="preserve">AT-00119</t>
  </si>
  <si>
    <t xml:space="preserve">AT-00120</t>
  </si>
  <si>
    <t xml:space="preserve">AT-00121</t>
  </si>
  <si>
    <t xml:space="preserve">AT-00122</t>
  </si>
  <si>
    <t xml:space="preserve">AT-00123</t>
  </si>
  <si>
    <t xml:space="preserve">AT-00124</t>
  </si>
  <si>
    <t xml:space="preserve">AT-00125</t>
  </si>
  <si>
    <t xml:space="preserve">AT-00126</t>
  </si>
  <si>
    <t xml:space="preserve">AT-00127</t>
  </si>
  <si>
    <t xml:space="preserve">AT-00128</t>
  </si>
  <si>
    <t xml:space="preserve">AT-00129</t>
  </si>
  <si>
    <t xml:space="preserve">AT-00130</t>
  </si>
  <si>
    <t xml:space="preserve">AT-00131</t>
  </si>
  <si>
    <t xml:space="preserve">AT-00132</t>
  </si>
  <si>
    <t xml:space="preserve">AT-00133</t>
  </si>
  <si>
    <t xml:space="preserve">AT-00134</t>
  </si>
  <si>
    <t xml:space="preserve">AT-00135</t>
  </si>
  <si>
    <t xml:space="preserve">AT-00136</t>
  </si>
  <si>
    <t xml:space="preserve">AT-00137</t>
  </si>
  <si>
    <t xml:space="preserve">AT-00138</t>
  </si>
  <si>
    <t xml:space="preserve">AT-00139</t>
  </si>
  <si>
    <t xml:space="preserve">AT-00140</t>
  </si>
  <si>
    <t xml:space="preserve">AT-00141</t>
  </si>
  <si>
    <t xml:space="preserve">AT-00142</t>
  </si>
  <si>
    <t xml:space="preserve">AT-00143</t>
  </si>
  <si>
    <t xml:space="preserve">AT-00144</t>
  </si>
  <si>
    <t xml:space="preserve">AT-00145</t>
  </si>
  <si>
    <t xml:space="preserve">AT-00146</t>
  </si>
  <si>
    <t xml:space="preserve">AT-00147</t>
  </si>
  <si>
    <t xml:space="preserve">AT-00148</t>
  </si>
  <si>
    <t xml:space="preserve">AT-00149</t>
  </si>
  <si>
    <t xml:space="preserve">AT-00150</t>
  </si>
  <si>
    <t xml:space="preserve">AT-00151</t>
  </si>
  <si>
    <t xml:space="preserve">AT-00152</t>
  </si>
  <si>
    <t xml:space="preserve">AT-00153</t>
  </si>
  <si>
    <t xml:space="preserve">AT-00154</t>
  </si>
  <si>
    <t xml:space="preserve">AT-00155</t>
  </si>
  <si>
    <t xml:space="preserve">AT-00156</t>
  </si>
  <si>
    <t xml:space="preserve">AT-00157</t>
  </si>
  <si>
    <t xml:space="preserve">AT-00158</t>
  </si>
  <si>
    <t xml:space="preserve">AT-00159</t>
  </si>
  <si>
    <t xml:space="preserve">AT-00160</t>
  </si>
  <si>
    <t xml:space="preserve">AT-00161</t>
  </si>
  <si>
    <t xml:space="preserve">AT-00162</t>
  </si>
  <si>
    <t xml:space="preserve">AT-00163</t>
  </si>
  <si>
    <t xml:space="preserve">AT-00164</t>
  </si>
  <si>
    <t xml:space="preserve">AT-00165</t>
  </si>
  <si>
    <t xml:space="preserve">AT-00166</t>
  </si>
  <si>
    <t xml:space="preserve">AT-00167</t>
  </si>
  <si>
    <t xml:space="preserve">AT-00168</t>
  </si>
  <si>
    <t xml:space="preserve">AT-00169</t>
  </si>
  <si>
    <t xml:space="preserve">AT-00170</t>
  </si>
  <si>
    <t xml:space="preserve">AT-00171</t>
  </si>
  <si>
    <t xml:space="preserve">AT-00172</t>
  </si>
  <si>
    <t xml:space="preserve">AT-00173</t>
  </si>
  <si>
    <t xml:space="preserve">AT-00174</t>
  </si>
  <si>
    <t xml:space="preserve">AT-00175</t>
  </si>
  <si>
    <t xml:space="preserve">AT-00176</t>
  </si>
  <si>
    <t xml:space="preserve">AT-00177</t>
  </si>
  <si>
    <t xml:space="preserve">AT-00178</t>
  </si>
  <si>
    <t xml:space="preserve">AT-00179</t>
  </si>
  <si>
    <t xml:space="preserve">AT-00180</t>
  </si>
  <si>
    <t xml:space="preserve">AT-00181</t>
  </si>
  <si>
    <t xml:space="preserve">AT-00182</t>
  </si>
  <si>
    <t xml:space="preserve">AT-00183</t>
  </si>
  <si>
    <t xml:space="preserve">AT-00184</t>
  </si>
  <si>
    <t xml:space="preserve">AT-00185</t>
  </si>
  <si>
    <t xml:space="preserve">AT-00186</t>
  </si>
  <si>
    <t xml:space="preserve">AT-00187</t>
  </si>
  <si>
    <t xml:space="preserve">AT-00188</t>
  </si>
  <si>
    <t xml:space="preserve">AT-00189</t>
  </si>
  <si>
    <t xml:space="preserve">AT-00190</t>
  </si>
  <si>
    <t xml:space="preserve">AT-00191</t>
  </si>
  <si>
    <t xml:space="preserve">AT-00192</t>
  </si>
  <si>
    <t xml:space="preserve">AT-00193</t>
  </si>
  <si>
    <t xml:space="preserve">AT-00194</t>
  </si>
  <si>
    <t xml:space="preserve">AT-00195</t>
  </si>
  <si>
    <t xml:space="preserve">AT-00196</t>
  </si>
  <si>
    <t xml:space="preserve">AT-00197</t>
  </si>
  <si>
    <t xml:space="preserve">AT-00198</t>
  </si>
  <si>
    <t xml:space="preserve">AT-00199</t>
  </si>
  <si>
    <t xml:space="preserve">AT-00200</t>
  </si>
  <si>
    <t xml:space="preserve">AT-00201</t>
  </si>
  <si>
    <t xml:space="preserve">AT-00202</t>
  </si>
  <si>
    <t xml:space="preserve">AT-00203</t>
  </si>
  <si>
    <t xml:space="preserve">AT-00204</t>
  </si>
  <si>
    <t xml:space="preserve">AT-00205</t>
  </si>
  <si>
    <t xml:space="preserve">AT-00206</t>
  </si>
  <si>
    <t xml:space="preserve">AT-00207</t>
  </si>
  <si>
    <t xml:space="preserve">AT-00208</t>
  </si>
  <si>
    <t xml:space="preserve">AT-00209</t>
  </si>
  <si>
    <t xml:space="preserve">AT-00210</t>
  </si>
  <si>
    <t xml:space="preserve">AT-00211</t>
  </si>
  <si>
    <t xml:space="preserve">AT-00212</t>
  </si>
  <si>
    <t xml:space="preserve">AT-00213</t>
  </si>
  <si>
    <t xml:space="preserve">AT-00214</t>
  </si>
  <si>
    <t xml:space="preserve">AT-00215</t>
  </si>
  <si>
    <t xml:space="preserve">AT-00216</t>
  </si>
  <si>
    <t xml:space="preserve">AT-00217</t>
  </si>
  <si>
    <t xml:space="preserve">AT-00218</t>
  </si>
  <si>
    <t xml:space="preserve">AT-00219</t>
  </si>
  <si>
    <t xml:space="preserve">AT-00220</t>
  </si>
  <si>
    <t xml:space="preserve">AT-00221</t>
  </si>
  <si>
    <t xml:space="preserve">AT-00222</t>
  </si>
  <si>
    <t xml:space="preserve">AT-00223</t>
  </si>
  <si>
    <t xml:space="preserve">AT-00224</t>
  </si>
  <si>
    <t xml:space="preserve">AT-00225</t>
  </si>
  <si>
    <t xml:space="preserve">AT-00226</t>
  </si>
  <si>
    <t xml:space="preserve">AT-00227</t>
  </si>
  <si>
    <t xml:space="preserve">AT-00228</t>
  </si>
  <si>
    <t xml:space="preserve">AT-00229</t>
  </si>
  <si>
    <t xml:space="preserve">AT-00230</t>
  </si>
  <si>
    <t xml:space="preserve">AT-00231</t>
  </si>
  <si>
    <t xml:space="preserve">AT-00232</t>
  </si>
  <si>
    <t xml:space="preserve">AT-00233</t>
  </si>
  <si>
    <t xml:space="preserve">AT-00234</t>
  </si>
  <si>
    <t xml:space="preserve">AT-00235</t>
  </si>
  <si>
    <t xml:space="preserve">AT-00236</t>
  </si>
  <si>
    <t xml:space="preserve">AT-00237</t>
  </si>
  <si>
    <t xml:space="preserve">AT-00238</t>
  </si>
  <si>
    <t xml:space="preserve">AT-00239</t>
  </si>
  <si>
    <t xml:space="preserve">AT-00240</t>
  </si>
  <si>
    <t xml:space="preserve">AT-00241</t>
  </si>
  <si>
    <t xml:space="preserve">AT-00242</t>
  </si>
  <si>
    <t xml:space="preserve">AT-00243</t>
  </si>
  <si>
    <t xml:space="preserve">AT-00244</t>
  </si>
  <si>
    <t xml:space="preserve">AT-00245</t>
  </si>
  <si>
    <t xml:space="preserve">AT-00246</t>
  </si>
  <si>
    <t xml:space="preserve">AT-00247</t>
  </si>
  <si>
    <t xml:space="preserve">AT-00248</t>
  </si>
  <si>
    <t xml:space="preserve">AT-00249</t>
  </si>
  <si>
    <t xml:space="preserve">AT-00250</t>
  </si>
  <si>
    <t xml:space="preserve">AT-00251</t>
  </si>
  <si>
    <t xml:space="preserve">AT-00252</t>
  </si>
  <si>
    <t xml:space="preserve">AT-00253</t>
  </si>
  <si>
    <t xml:space="preserve">AT-00254</t>
  </si>
  <si>
    <t xml:space="preserve">AT-00255</t>
  </si>
  <si>
    <t xml:space="preserve">AT-00256</t>
  </si>
  <si>
    <t xml:space="preserve">AT-00257</t>
  </si>
  <si>
    <t xml:space="preserve">AT-00258</t>
  </si>
  <si>
    <t xml:space="preserve">AT-00259</t>
  </si>
  <si>
    <t xml:space="preserve">AT-00260</t>
  </si>
  <si>
    <t xml:space="preserve">AT-00261</t>
  </si>
  <si>
    <t xml:space="preserve">AT-00262</t>
  </si>
  <si>
    <t xml:space="preserve">AT-00263</t>
  </si>
  <si>
    <t xml:space="preserve">AT-00264</t>
  </si>
  <si>
    <t xml:space="preserve">AT-00265</t>
  </si>
  <si>
    <t xml:space="preserve">AT-00266</t>
  </si>
  <si>
    <t xml:space="preserve">AT-00267</t>
  </si>
  <si>
    <t xml:space="preserve">AT-00268</t>
  </si>
  <si>
    <t xml:space="preserve">AT-00269</t>
  </si>
  <si>
    <t xml:space="preserve">AT-00270</t>
  </si>
  <si>
    <t xml:space="preserve">AT-00271</t>
  </si>
  <si>
    <t xml:space="preserve">AT-00272</t>
  </si>
  <si>
    <t xml:space="preserve">AT-00273</t>
  </si>
  <si>
    <t xml:space="preserve">AT-00274</t>
  </si>
  <si>
    <t xml:space="preserve">AT-00275</t>
  </si>
  <si>
    <t xml:space="preserve">AT-00276</t>
  </si>
  <si>
    <t xml:space="preserve">AT-00277</t>
  </si>
  <si>
    <t xml:space="preserve">AT-00278</t>
  </si>
  <si>
    <t xml:space="preserve">AT-00279</t>
  </si>
  <si>
    <t xml:space="preserve">AT-00280</t>
  </si>
  <si>
    <t xml:space="preserve">AT-00281</t>
  </si>
  <si>
    <t xml:space="preserve">AT-00282</t>
  </si>
  <si>
    <t xml:space="preserve">AT-00283</t>
  </si>
  <si>
    <t xml:space="preserve">AT-00284</t>
  </si>
  <si>
    <t xml:space="preserve">AT-00285</t>
  </si>
  <si>
    <t xml:space="preserve">AT-00286</t>
  </si>
  <si>
    <t xml:space="preserve">AT-00287</t>
  </si>
  <si>
    <t xml:space="preserve">AT-00288</t>
  </si>
  <si>
    <t xml:space="preserve">AT-00289</t>
  </si>
  <si>
    <t xml:space="preserve">AT-00290</t>
  </si>
  <si>
    <t xml:space="preserve">AT-00291</t>
  </si>
  <si>
    <t xml:space="preserve">AT-00292</t>
  </si>
  <si>
    <t xml:space="preserve">AT-00293</t>
  </si>
  <si>
    <t xml:space="preserve">AT-00294</t>
  </si>
  <si>
    <t xml:space="preserve">AT-00295</t>
  </si>
  <si>
    <t xml:space="preserve">AT-00296</t>
  </si>
  <si>
    <t xml:space="preserve">AT-00297</t>
  </si>
  <si>
    <t xml:space="preserve">AT-00298</t>
  </si>
  <si>
    <t xml:space="preserve">AT-00299</t>
  </si>
  <si>
    <t xml:space="preserve">AT-00300</t>
  </si>
  <si>
    <t xml:space="preserve">AT-00301</t>
  </si>
  <si>
    <t xml:space="preserve">AT-00302</t>
  </si>
  <si>
    <t xml:space="preserve">AT-00303</t>
  </si>
  <si>
    <t xml:space="preserve">AT-00304</t>
  </si>
  <si>
    <t xml:space="preserve">AT-00305</t>
  </si>
  <si>
    <t xml:space="preserve">AT-00306</t>
  </si>
  <si>
    <t xml:space="preserve">AT-00307</t>
  </si>
  <si>
    <t xml:space="preserve">AT-00308</t>
  </si>
  <si>
    <t xml:space="preserve">AT-00309</t>
  </si>
  <si>
    <t xml:space="preserve">AT-00310</t>
  </si>
  <si>
    <t xml:space="preserve">AT-00311</t>
  </si>
  <si>
    <t xml:space="preserve">AT-00312</t>
  </si>
  <si>
    <t xml:space="preserve">AT-00313</t>
  </si>
  <si>
    <t xml:space="preserve">AT-00314</t>
  </si>
  <si>
    <t xml:space="preserve">AT-00315</t>
  </si>
  <si>
    <t xml:space="preserve">AT-00316</t>
  </si>
  <si>
    <t xml:space="preserve">AT-00317</t>
  </si>
  <si>
    <t xml:space="preserve">AT-00318</t>
  </si>
  <si>
    <t xml:space="preserve">AT-00319</t>
  </si>
  <si>
    <t xml:space="preserve">AT-00320</t>
  </si>
  <si>
    <t xml:space="preserve">AT-00321</t>
  </si>
  <si>
    <t xml:space="preserve">AT-00322</t>
  </si>
  <si>
    <t xml:space="preserve">AT-00323</t>
  </si>
  <si>
    <t xml:space="preserve">AT-00324</t>
  </si>
  <si>
    <t xml:space="preserve">AT-00325</t>
  </si>
  <si>
    <t xml:space="preserve">AT-00326</t>
  </si>
  <si>
    <t xml:space="preserve">AT-00327</t>
  </si>
  <si>
    <t xml:space="preserve">AT-00328</t>
  </si>
  <si>
    <t xml:space="preserve">AT-00329</t>
  </si>
  <si>
    <t xml:space="preserve">AT-00330</t>
  </si>
  <si>
    <t xml:space="preserve">AT-00331</t>
  </si>
  <si>
    <t xml:space="preserve">AT-00332</t>
  </si>
  <si>
    <t xml:space="preserve">AT-00333</t>
  </si>
  <si>
    <t xml:space="preserve">AT-00334</t>
  </si>
  <si>
    <t xml:space="preserve">AT-00335</t>
  </si>
  <si>
    <t xml:space="preserve">AT-00336</t>
  </si>
  <si>
    <t xml:space="preserve">AT-00337</t>
  </si>
  <si>
    <t xml:space="preserve">AT-00338</t>
  </si>
  <si>
    <t xml:space="preserve">AT-00339</t>
  </si>
  <si>
    <t xml:space="preserve">AT-00340</t>
  </si>
  <si>
    <t xml:space="preserve">AT-00341</t>
  </si>
  <si>
    <t xml:space="preserve">AT-00342</t>
  </si>
  <si>
    <t xml:space="preserve">AT-00343</t>
  </si>
  <si>
    <t xml:space="preserve">AT-00344</t>
  </si>
  <si>
    <t xml:space="preserve">AT-00345</t>
  </si>
  <si>
    <t xml:space="preserve">AT-00346</t>
  </si>
  <si>
    <t xml:space="preserve">AT-00347</t>
  </si>
  <si>
    <t xml:space="preserve">AT-00348</t>
  </si>
  <si>
    <t xml:space="preserve">AT-00349</t>
  </si>
  <si>
    <t xml:space="preserve">AT-00350</t>
  </si>
  <si>
    <t xml:space="preserve">AT-00351</t>
  </si>
  <si>
    <t xml:space="preserve">AT-00352</t>
  </si>
  <si>
    <t xml:space="preserve">AT-00353</t>
  </si>
  <si>
    <t xml:space="preserve">AT-00354</t>
  </si>
  <si>
    <t xml:space="preserve">AT-00355</t>
  </si>
  <si>
    <t xml:space="preserve">AT-00356</t>
  </si>
  <si>
    <t xml:space="preserve">AT-00357</t>
  </si>
  <si>
    <t xml:space="preserve">AT-00358</t>
  </si>
  <si>
    <t xml:space="preserve">AT-00359</t>
  </si>
  <si>
    <t xml:space="preserve">AT-00360</t>
  </si>
  <si>
    <t xml:space="preserve">AT-00361</t>
  </si>
  <si>
    <t xml:space="preserve">AT-00362</t>
  </si>
  <si>
    <t xml:space="preserve">AT-00363</t>
  </si>
  <si>
    <t xml:space="preserve">AT-00364</t>
  </si>
  <si>
    <t xml:space="preserve">AT-00365</t>
  </si>
  <si>
    <t xml:space="preserve">AT-00366</t>
  </si>
  <si>
    <t xml:space="preserve">AT-00367</t>
  </si>
  <si>
    <t xml:space="preserve">AT-00368</t>
  </si>
  <si>
    <t xml:space="preserve">AT-00369</t>
  </si>
  <si>
    <t xml:space="preserve">AT-00370</t>
  </si>
  <si>
    <t xml:space="preserve">AT-00371</t>
  </si>
  <si>
    <t xml:space="preserve">AT-00372</t>
  </si>
  <si>
    <t xml:space="preserve">AT-00373</t>
  </si>
  <si>
    <t xml:space="preserve">AT-00374</t>
  </si>
  <si>
    <t xml:space="preserve">AT-00375</t>
  </si>
  <si>
    <t xml:space="preserve">AT-00376</t>
  </si>
  <si>
    <t xml:space="preserve">AT-00377</t>
  </si>
  <si>
    <t xml:space="preserve">AT-00378</t>
  </si>
  <si>
    <t xml:space="preserve">AT-00379</t>
  </si>
  <si>
    <t xml:space="preserve">AT-00380</t>
  </si>
  <si>
    <t xml:space="preserve">AT-00381</t>
  </si>
  <si>
    <t xml:space="preserve">AT-00382</t>
  </si>
  <si>
    <t xml:space="preserve">AT-00383</t>
  </si>
  <si>
    <t xml:space="preserve">AT-00384</t>
  </si>
  <si>
    <t xml:space="preserve">AT-00385</t>
  </si>
  <si>
    <t xml:space="preserve">AT-00386</t>
  </si>
  <si>
    <t xml:space="preserve">AT-00387</t>
  </si>
  <si>
    <t xml:space="preserve">AT-00388</t>
  </si>
  <si>
    <t xml:space="preserve">AT-00389</t>
  </si>
  <si>
    <t xml:space="preserve">AT-00390</t>
  </si>
  <si>
    <t xml:space="preserve">AT-00391</t>
  </si>
  <si>
    <t xml:space="preserve">AT-00392</t>
  </si>
  <si>
    <t xml:space="preserve">AT-00393</t>
  </si>
  <si>
    <t xml:space="preserve">AT-00394</t>
  </si>
  <si>
    <t xml:space="preserve">AT-00395</t>
  </si>
  <si>
    <t xml:space="preserve">AT-00396</t>
  </si>
  <si>
    <t xml:space="preserve">AT-00397</t>
  </si>
  <si>
    <t xml:space="preserve">AT-00398</t>
  </si>
  <si>
    <t xml:space="preserve">AT-00399</t>
  </si>
  <si>
    <t xml:space="preserve">AT-00400</t>
  </si>
  <si>
    <t xml:space="preserve">AT-00401</t>
  </si>
  <si>
    <t xml:space="preserve">AT-00402</t>
  </si>
  <si>
    <t xml:space="preserve">AT-00403</t>
  </si>
  <si>
    <t xml:space="preserve">AT-00404</t>
  </si>
  <si>
    <t xml:space="preserve">AT-00405</t>
  </si>
  <si>
    <t xml:space="preserve">AT-00406</t>
  </si>
  <si>
    <t xml:space="preserve">AT-00407</t>
  </si>
  <si>
    <t xml:space="preserve">AT-00408</t>
  </si>
  <si>
    <t xml:space="preserve">AT-00409</t>
  </si>
  <si>
    <t xml:space="preserve">AT-00410</t>
  </si>
  <si>
    <t xml:space="preserve">AT-00411</t>
  </si>
  <si>
    <t xml:space="preserve">AT-00412</t>
  </si>
  <si>
    <t xml:space="preserve">AT-00413</t>
  </si>
  <si>
    <t xml:space="preserve">AT-00414</t>
  </si>
  <si>
    <t xml:space="preserve">AT-00415</t>
  </si>
  <si>
    <t xml:space="preserve">AT-00416</t>
  </si>
  <si>
    <t xml:space="preserve">AT-00417</t>
  </si>
  <si>
    <t xml:space="preserve">AT-00418</t>
  </si>
  <si>
    <t xml:space="preserve">AT-00419</t>
  </si>
  <si>
    <t xml:space="preserve">AT-00420</t>
  </si>
  <si>
    <t xml:space="preserve">AT-00421</t>
  </si>
  <si>
    <t xml:space="preserve">AT-00422</t>
  </si>
  <si>
    <t xml:space="preserve">AT-00423</t>
  </si>
  <si>
    <t xml:space="preserve">AT-00424</t>
  </si>
  <si>
    <t xml:space="preserve">AT-00425</t>
  </si>
  <si>
    <t xml:space="preserve">AT-00426</t>
  </si>
  <si>
    <t xml:space="preserve">AT-00427</t>
  </si>
  <si>
    <t xml:space="preserve">AT-00428</t>
  </si>
  <si>
    <t xml:space="preserve">AT-00429</t>
  </si>
  <si>
    <t xml:space="preserve">AT-00430</t>
  </si>
  <si>
    <t xml:space="preserve">AT-00431</t>
  </si>
  <si>
    <t xml:space="preserve">AT-00432</t>
  </si>
  <si>
    <t xml:space="preserve">AT-00433</t>
  </si>
  <si>
    <t xml:space="preserve">AT-00434</t>
  </si>
  <si>
    <t xml:space="preserve">AT-00435</t>
  </si>
  <si>
    <t xml:space="preserve">AT-00436</t>
  </si>
  <si>
    <t xml:space="preserve">AT-00437</t>
  </si>
  <si>
    <t xml:space="preserve">AT-00438</t>
  </si>
  <si>
    <t xml:space="preserve">AT-00439</t>
  </si>
  <si>
    <t xml:space="preserve">AT-00440</t>
  </si>
  <si>
    <t xml:space="preserve">AT-00441</t>
  </si>
  <si>
    <t xml:space="preserve">AT-00442</t>
  </si>
  <si>
    <t xml:space="preserve">AT-00443</t>
  </si>
  <si>
    <t xml:space="preserve">AT-00444</t>
  </si>
  <si>
    <t xml:space="preserve">AT-00445</t>
  </si>
  <si>
    <t xml:space="preserve">AT-00446</t>
  </si>
  <si>
    <t xml:space="preserve">AT-00447</t>
  </si>
  <si>
    <t xml:space="preserve">AT-00448</t>
  </si>
  <si>
    <t xml:space="preserve">AT-00449</t>
  </si>
  <si>
    <t xml:space="preserve">AT-00450</t>
  </si>
  <si>
    <t xml:space="preserve">AT-00451</t>
  </si>
  <si>
    <t xml:space="preserve">AT-00452</t>
  </si>
  <si>
    <t xml:space="preserve">AT-00453</t>
  </si>
  <si>
    <t xml:space="preserve">AT-00454</t>
  </si>
  <si>
    <t xml:space="preserve">AT-00455</t>
  </si>
  <si>
    <t xml:space="preserve">AT-00456</t>
  </si>
  <si>
    <t xml:space="preserve">AT-00457</t>
  </si>
  <si>
    <t xml:space="preserve">AT-00458</t>
  </si>
  <si>
    <t xml:space="preserve">AT-00459</t>
  </si>
  <si>
    <t xml:space="preserve">AT-00460</t>
  </si>
  <si>
    <t xml:space="preserve">AT-00461</t>
  </si>
  <si>
    <t xml:space="preserve">AT-00462</t>
  </si>
  <si>
    <t xml:space="preserve">AT-00463</t>
  </si>
  <si>
    <t xml:space="preserve">AT-00464</t>
  </si>
  <si>
    <t xml:space="preserve">AT-00465</t>
  </si>
  <si>
    <t xml:space="preserve">AT-00466</t>
  </si>
  <si>
    <t xml:space="preserve">AT-00467</t>
  </si>
  <si>
    <t xml:space="preserve">AT-00468</t>
  </si>
  <si>
    <t xml:space="preserve">AT-00469</t>
  </si>
  <si>
    <t xml:space="preserve">AT-00470</t>
  </si>
  <si>
    <t xml:space="preserve">AT-00471</t>
  </si>
  <si>
    <t xml:space="preserve">AT-00472</t>
  </si>
  <si>
    <t xml:space="preserve">AT-00473</t>
  </si>
  <si>
    <t xml:space="preserve">AT-00474</t>
  </si>
  <si>
    <t xml:space="preserve">AT-00475</t>
  </si>
  <si>
    <t xml:space="preserve">AT-00476</t>
  </si>
  <si>
    <t xml:space="preserve">AT-00477</t>
  </si>
  <si>
    <t xml:space="preserve">AT-00478</t>
  </si>
  <si>
    <t xml:space="preserve">AT-00479</t>
  </si>
  <si>
    <t xml:space="preserve">AT-00480</t>
  </si>
  <si>
    <t xml:space="preserve">AT-00481</t>
  </si>
  <si>
    <t xml:space="preserve">AT-00482</t>
  </si>
  <si>
    <t xml:space="preserve">AT-00483</t>
  </si>
  <si>
    <t xml:space="preserve">AT-00484</t>
  </si>
  <si>
    <t xml:space="preserve">AT-00485</t>
  </si>
  <si>
    <t xml:space="preserve">AT-00486</t>
  </si>
  <si>
    <t xml:space="preserve">AT-00487</t>
  </si>
  <si>
    <t xml:space="preserve">AT-00488</t>
  </si>
  <si>
    <t xml:space="preserve">AT-00489</t>
  </si>
  <si>
    <t xml:space="preserve">AT-00490</t>
  </si>
  <si>
    <t xml:space="preserve">AT-00491</t>
  </si>
  <si>
    <t xml:space="preserve">AT-00492</t>
  </si>
  <si>
    <t xml:space="preserve">AT-00493</t>
  </si>
  <si>
    <t xml:space="preserve">AT-00494</t>
  </si>
  <si>
    <t xml:space="preserve">AT-00495</t>
  </si>
  <si>
    <t xml:space="preserve">AT-00496</t>
  </si>
  <si>
    <t xml:space="preserve">AT-00497</t>
  </si>
  <si>
    <t xml:space="preserve">AT-00498</t>
  </si>
  <si>
    <t xml:space="preserve">AT-00499</t>
  </si>
  <si>
    <t xml:space="preserve">AT-00500</t>
  </si>
  <si>
    <t xml:space="preserve">AT-00501</t>
  </si>
  <si>
    <t xml:space="preserve">AT-00502</t>
  </si>
  <si>
    <t xml:space="preserve">AT-00503</t>
  </si>
  <si>
    <t xml:space="preserve">AT-00504</t>
  </si>
  <si>
    <t xml:space="preserve">AT-00505</t>
  </si>
  <si>
    <t xml:space="preserve">AT-00506</t>
  </si>
  <si>
    <t xml:space="preserve">AT-00507</t>
  </si>
  <si>
    <t xml:space="preserve">AT-00508</t>
  </si>
  <si>
    <t xml:space="preserve">AT-00509</t>
  </si>
  <si>
    <t xml:space="preserve">AT-00510</t>
  </si>
  <si>
    <t xml:space="preserve">AT-00511</t>
  </si>
  <si>
    <t xml:space="preserve">AT-00512</t>
  </si>
  <si>
    <t xml:space="preserve">AT-00513</t>
  </si>
  <si>
    <t xml:space="preserve">AT-00514</t>
  </si>
  <si>
    <t xml:space="preserve">AT-00515</t>
  </si>
  <si>
    <t xml:space="preserve">AT-00516</t>
  </si>
  <si>
    <t xml:space="preserve">AT-00517</t>
  </si>
  <si>
    <t xml:space="preserve">AT-00518</t>
  </si>
  <si>
    <t xml:space="preserve">AT-00519</t>
  </si>
  <si>
    <t xml:space="preserve">AT-00520</t>
  </si>
  <si>
    <t xml:space="preserve">AT-00521</t>
  </si>
  <si>
    <t xml:space="preserve">AT-00522</t>
  </si>
  <si>
    <t xml:space="preserve">AT-00523</t>
  </si>
  <si>
    <t xml:space="preserve">AT-00524</t>
  </si>
  <si>
    <t xml:space="preserve">AT-00525</t>
  </si>
  <si>
    <t xml:space="preserve">AT-00526</t>
  </si>
  <si>
    <t xml:space="preserve">AT-00527</t>
  </si>
  <si>
    <t xml:space="preserve">AT-00528</t>
  </si>
  <si>
    <t xml:space="preserve">AT-00529</t>
  </si>
  <si>
    <t xml:space="preserve">AT-00530</t>
  </si>
  <si>
    <t xml:space="preserve">AT-00531</t>
  </si>
  <si>
    <t xml:space="preserve">AT-00532</t>
  </si>
  <si>
    <t xml:space="preserve">AT-00533</t>
  </si>
  <si>
    <t xml:space="preserve">AT-00534</t>
  </si>
  <si>
    <t xml:space="preserve">AT-00535</t>
  </si>
  <si>
    <t xml:space="preserve">AT-00536</t>
  </si>
  <si>
    <t xml:space="preserve">AT-00537</t>
  </si>
  <si>
    <t xml:space="preserve">AT-00538</t>
  </si>
  <si>
    <t xml:space="preserve">AT-00539</t>
  </si>
  <si>
    <t xml:space="preserve">AT-00540</t>
  </si>
  <si>
    <t xml:space="preserve">AT-00541</t>
  </si>
  <si>
    <t xml:space="preserve">AT-00542</t>
  </si>
  <si>
    <t xml:space="preserve">AT-00543</t>
  </si>
  <si>
    <t xml:space="preserve">AT-00544</t>
  </si>
  <si>
    <t xml:space="preserve">AT-00545</t>
  </si>
  <si>
    <t xml:space="preserve">AT-00546</t>
  </si>
  <si>
    <t xml:space="preserve">AT-00547</t>
  </si>
  <si>
    <t xml:space="preserve">AT-00548</t>
  </si>
  <si>
    <t xml:space="preserve">AT-00549</t>
  </si>
  <si>
    <t xml:space="preserve">AT-00550</t>
  </si>
  <si>
    <t xml:space="preserve">AT-00551</t>
  </si>
  <si>
    <t xml:space="preserve">AT-00552</t>
  </si>
  <si>
    <t xml:space="preserve">AT-00553</t>
  </si>
  <si>
    <t xml:space="preserve">AT-00554</t>
  </si>
  <si>
    <t xml:space="preserve">AT-00555</t>
  </si>
  <si>
    <t xml:space="preserve">AT-00556</t>
  </si>
  <si>
    <t xml:space="preserve">AT-00557</t>
  </si>
  <si>
    <t xml:space="preserve">AT-00558</t>
  </si>
  <si>
    <t xml:space="preserve">AT-00559</t>
  </si>
  <si>
    <t xml:space="preserve">AT-00560</t>
  </si>
  <si>
    <t xml:space="preserve">AT-00561</t>
  </si>
  <si>
    <t xml:space="preserve">AT-00562</t>
  </si>
  <si>
    <t xml:space="preserve">AT-00563</t>
  </si>
  <si>
    <t xml:space="preserve">AT-00564</t>
  </si>
  <si>
    <t xml:space="preserve">AT-00565</t>
  </si>
  <si>
    <t xml:space="preserve">AT-00566</t>
  </si>
  <si>
    <t xml:space="preserve">AT-00567</t>
  </si>
  <si>
    <t xml:space="preserve">AT-00568</t>
  </si>
  <si>
    <t xml:space="preserve">AT-00569</t>
  </si>
  <si>
    <t xml:space="preserve">AT-00570</t>
  </si>
  <si>
    <t xml:space="preserve">AT-00571</t>
  </si>
  <si>
    <t xml:space="preserve">AT-00572</t>
  </si>
  <si>
    <t xml:space="preserve">AT-00573</t>
  </si>
  <si>
    <t xml:space="preserve">AT-00574</t>
  </si>
  <si>
    <t xml:space="preserve">AT-00575</t>
  </si>
  <si>
    <t xml:space="preserve">AT-00576</t>
  </si>
  <si>
    <t xml:space="preserve">AT-00577</t>
  </si>
  <si>
    <t xml:space="preserve">AT-00578</t>
  </si>
  <si>
    <t xml:space="preserve">AT-00579</t>
  </si>
  <si>
    <t xml:space="preserve">AT-00580</t>
  </si>
  <si>
    <t xml:space="preserve">AT-00581</t>
  </si>
  <si>
    <t xml:space="preserve">AT-00582</t>
  </si>
  <si>
    <t xml:space="preserve">AT-00583</t>
  </si>
  <si>
    <t xml:space="preserve">AT-00584</t>
  </si>
  <si>
    <t xml:space="preserve">AT-00585</t>
  </si>
  <si>
    <t xml:space="preserve">AT-00586</t>
  </si>
  <si>
    <t xml:space="preserve">AT-00587</t>
  </si>
  <si>
    <t xml:space="preserve">AT-00588</t>
  </si>
  <si>
    <t xml:space="preserve">AT-00589</t>
  </si>
  <si>
    <t xml:space="preserve">AT-00590</t>
  </si>
  <si>
    <t xml:space="preserve">AT-00591</t>
  </si>
  <si>
    <t xml:space="preserve">AT-00592</t>
  </si>
  <si>
    <t xml:space="preserve">AT-00593</t>
  </si>
  <si>
    <t xml:space="preserve">AT-00594</t>
  </si>
  <si>
    <t xml:space="preserve">AT-00595</t>
  </si>
  <si>
    <t xml:space="preserve">AT-00596</t>
  </si>
  <si>
    <t xml:space="preserve">AT-00597</t>
  </si>
  <si>
    <t xml:space="preserve">AT-00598</t>
  </si>
  <si>
    <t xml:space="preserve">AT-00599</t>
  </si>
  <si>
    <t xml:space="preserve">AT-00600</t>
  </si>
  <si>
    <t xml:space="preserve">AT-00601</t>
  </si>
  <si>
    <t xml:space="preserve">AT-00602</t>
  </si>
  <si>
    <t xml:space="preserve">AT-00603</t>
  </si>
  <si>
    <t xml:space="preserve">AT-00604</t>
  </si>
  <si>
    <t xml:space="preserve">AT-00605</t>
  </si>
  <si>
    <t xml:space="preserve">AT-00606</t>
  </si>
  <si>
    <t xml:space="preserve">AT-00607</t>
  </si>
  <si>
    <t xml:space="preserve">AT-00608</t>
  </si>
  <si>
    <t xml:space="preserve">AT-00609</t>
  </si>
  <si>
    <t xml:space="preserve">AT-00610</t>
  </si>
  <si>
    <t xml:space="preserve">AT-00611</t>
  </si>
  <si>
    <t xml:space="preserve">AT-00612</t>
  </si>
  <si>
    <t xml:space="preserve">AT-00613</t>
  </si>
  <si>
    <t xml:space="preserve">AT-00614</t>
  </si>
  <si>
    <t xml:space="preserve">AT-00615</t>
  </si>
  <si>
    <t xml:space="preserve">AT-00616</t>
  </si>
  <si>
    <t xml:space="preserve">AT-00617</t>
  </si>
  <si>
    <t xml:space="preserve">AT-00618</t>
  </si>
  <si>
    <t xml:space="preserve">AT-00619</t>
  </si>
  <si>
    <t xml:space="preserve">AT-00620</t>
  </si>
  <si>
    <t xml:space="preserve">AT-00621</t>
  </si>
  <si>
    <t xml:space="preserve">AT-00622</t>
  </si>
  <si>
    <t xml:space="preserve">AT-00623</t>
  </si>
  <si>
    <t xml:space="preserve">AT-00624</t>
  </si>
  <si>
    <t xml:space="preserve">AT-00625</t>
  </si>
  <si>
    <t xml:space="preserve">AT-00626</t>
  </si>
  <si>
    <t xml:space="preserve">AT-00627</t>
  </si>
  <si>
    <t xml:space="preserve">AT-00628</t>
  </si>
  <si>
    <t xml:space="preserve">AT-00629</t>
  </si>
  <si>
    <t xml:space="preserve">AT-00630</t>
  </si>
  <si>
    <t xml:space="preserve">AT-00631</t>
  </si>
  <si>
    <t xml:space="preserve">AT-00632</t>
  </si>
  <si>
    <t xml:space="preserve">AT-00633</t>
  </si>
  <si>
    <t xml:space="preserve">AT-00634</t>
  </si>
  <si>
    <t xml:space="preserve">AT-00635</t>
  </si>
  <si>
    <t xml:space="preserve">AT-00636</t>
  </si>
  <si>
    <t xml:space="preserve">AT-00637</t>
  </si>
  <si>
    <t xml:space="preserve">AT-00638</t>
  </si>
  <si>
    <t xml:space="preserve">AT-00639</t>
  </si>
  <si>
    <t xml:space="preserve">AT-00640</t>
  </si>
  <si>
    <t xml:space="preserve">AT-00641</t>
  </si>
  <si>
    <t xml:space="preserve">AT-00642</t>
  </si>
  <si>
    <t xml:space="preserve">AT-00643</t>
  </si>
  <si>
    <t xml:space="preserve">AT-00644</t>
  </si>
  <si>
    <t xml:space="preserve">AT-00645</t>
  </si>
  <si>
    <t xml:space="preserve">AT-00646</t>
  </si>
  <si>
    <t xml:space="preserve">AT-00647</t>
  </si>
  <si>
    <t xml:space="preserve">AT-00648</t>
  </si>
  <si>
    <t xml:space="preserve">AT-00649</t>
  </si>
  <si>
    <t xml:space="preserve">AT-00650</t>
  </si>
  <si>
    <t xml:space="preserve">AT-00651</t>
  </si>
  <si>
    <t xml:space="preserve">AT-00652</t>
  </si>
  <si>
    <t xml:space="preserve">AT-00653</t>
  </si>
  <si>
    <t xml:space="preserve">AT-00654</t>
  </si>
  <si>
    <t xml:space="preserve">AT-00655</t>
  </si>
  <si>
    <t xml:space="preserve">AT-00656</t>
  </si>
  <si>
    <t xml:space="preserve">AT-00657</t>
  </si>
  <si>
    <t xml:space="preserve">AT-00658</t>
  </si>
  <si>
    <t xml:space="preserve">AT-00659</t>
  </si>
  <si>
    <t xml:space="preserve">AT-00660</t>
  </si>
  <si>
    <t xml:space="preserve">AT-00661</t>
  </si>
  <si>
    <t xml:space="preserve">AT-00662</t>
  </si>
  <si>
    <t xml:space="preserve">AT-00663</t>
  </si>
  <si>
    <t xml:space="preserve">AT-00664</t>
  </si>
  <si>
    <t xml:space="preserve">AT-00665</t>
  </si>
  <si>
    <t xml:space="preserve">AT-00666</t>
  </si>
  <si>
    <t xml:space="preserve">AT-00667</t>
  </si>
  <si>
    <t xml:space="preserve">AT-00668</t>
  </si>
  <si>
    <t xml:space="preserve">AT-00669</t>
  </si>
  <si>
    <t xml:space="preserve">AT-00670</t>
  </si>
  <si>
    <t xml:space="preserve">AT-00671</t>
  </si>
  <si>
    <t xml:space="preserve">AT-00672</t>
  </si>
  <si>
    <t xml:space="preserve">AT-00673</t>
  </si>
  <si>
    <t xml:space="preserve">AT-00674</t>
  </si>
  <si>
    <t xml:space="preserve">AT-00675</t>
  </si>
  <si>
    <t xml:space="preserve">AT-00676</t>
  </si>
  <si>
    <t xml:space="preserve">AT-00677</t>
  </si>
  <si>
    <t xml:space="preserve">AT-00678</t>
  </si>
  <si>
    <t xml:space="preserve">AT-00679</t>
  </si>
  <si>
    <t xml:space="preserve">AT-00680</t>
  </si>
  <si>
    <t xml:space="preserve">AT-00681</t>
  </si>
  <si>
    <t xml:space="preserve">AT-00682</t>
  </si>
  <si>
    <t xml:space="preserve">AT-00683</t>
  </si>
  <si>
    <t xml:space="preserve">AT-00684</t>
  </si>
  <si>
    <t xml:space="preserve">AT-00685</t>
  </si>
  <si>
    <t xml:space="preserve">AT-00686</t>
  </si>
  <si>
    <t xml:space="preserve">AT-00687</t>
  </si>
  <si>
    <t xml:space="preserve">AT-00688</t>
  </si>
  <si>
    <t xml:space="preserve">AT-00689</t>
  </si>
  <si>
    <t xml:space="preserve">AT-00690</t>
  </si>
  <si>
    <t xml:space="preserve">AT-00691</t>
  </si>
  <si>
    <t xml:space="preserve">AT-00692</t>
  </si>
  <si>
    <t xml:space="preserve">AT-00693</t>
  </si>
  <si>
    <t xml:space="preserve">AT-00694</t>
  </si>
  <si>
    <t xml:space="preserve">AT-00695</t>
  </si>
  <si>
    <t xml:space="preserve">AT-00696</t>
  </si>
  <si>
    <t xml:space="preserve">AT-00697</t>
  </si>
  <si>
    <t xml:space="preserve">AT-00698</t>
  </si>
  <si>
    <t xml:space="preserve">AT-00699</t>
  </si>
  <si>
    <t xml:space="preserve">AT-00700</t>
  </si>
  <si>
    <t xml:space="preserve">AT-00701</t>
  </si>
  <si>
    <t xml:space="preserve">AT-00702</t>
  </si>
  <si>
    <t xml:space="preserve">AT-00703</t>
  </si>
  <si>
    <t xml:space="preserve">AT-00704</t>
  </si>
  <si>
    <t xml:space="preserve">AT-00705</t>
  </si>
  <si>
    <t xml:space="preserve">AT-00706</t>
  </si>
  <si>
    <t xml:space="preserve">AT-00707</t>
  </si>
  <si>
    <t xml:space="preserve">AT-00708</t>
  </si>
  <si>
    <t xml:space="preserve">AT-00709</t>
  </si>
  <si>
    <t xml:space="preserve">AT-00710</t>
  </si>
  <si>
    <t xml:space="preserve">AT-00711</t>
  </si>
  <si>
    <t xml:space="preserve">AT-00712</t>
  </si>
  <si>
    <t xml:space="preserve">AT-00713</t>
  </si>
  <si>
    <t xml:space="preserve">AT-00714</t>
  </si>
  <si>
    <t xml:space="preserve">AT-00715</t>
  </si>
  <si>
    <t xml:space="preserve">AT-00716</t>
  </si>
  <si>
    <t xml:space="preserve">AT-00717</t>
  </si>
  <si>
    <t xml:space="preserve">AT-00718</t>
  </si>
  <si>
    <t xml:space="preserve">AT-00719</t>
  </si>
  <si>
    <t xml:space="preserve">AT-00720</t>
  </si>
  <si>
    <t xml:space="preserve">AT-00721</t>
  </si>
  <si>
    <t xml:space="preserve">AT-00722</t>
  </si>
  <si>
    <t xml:space="preserve">AT-00723</t>
  </si>
  <si>
    <t xml:space="preserve">AT-00724</t>
  </si>
  <si>
    <t xml:space="preserve">AT-00725</t>
  </si>
  <si>
    <t xml:space="preserve">AT-00726</t>
  </si>
  <si>
    <t xml:space="preserve">AT-00727</t>
  </si>
  <si>
    <t xml:space="preserve">AT-00728</t>
  </si>
  <si>
    <t xml:space="preserve">AT-00729</t>
  </si>
  <si>
    <t xml:space="preserve">AT-00730</t>
  </si>
  <si>
    <t xml:space="preserve">AT-00731</t>
  </si>
  <si>
    <t xml:space="preserve">AT-00732</t>
  </si>
  <si>
    <t xml:space="preserve">AT-00733</t>
  </si>
  <si>
    <t xml:space="preserve">AT-00734</t>
  </si>
  <si>
    <t xml:space="preserve">AT-00735</t>
  </si>
  <si>
    <t xml:space="preserve">AT-00736</t>
  </si>
  <si>
    <t xml:space="preserve">AT-00737</t>
  </si>
  <si>
    <t xml:space="preserve">AT-00738</t>
  </si>
  <si>
    <t xml:space="preserve">AT-00739</t>
  </si>
  <si>
    <t xml:space="preserve">AT-00740</t>
  </si>
  <si>
    <t xml:space="preserve">AT-00741</t>
  </si>
  <si>
    <t xml:space="preserve">AT-00742</t>
  </si>
  <si>
    <t xml:space="preserve">AT-00743</t>
  </si>
  <si>
    <t xml:space="preserve">AT-00744</t>
  </si>
  <si>
    <t xml:space="preserve">AT-00745</t>
  </si>
  <si>
    <t xml:space="preserve">AT-00746</t>
  </si>
  <si>
    <t xml:space="preserve">AT-00747</t>
  </si>
  <si>
    <t xml:space="preserve">AT-00748</t>
  </si>
  <si>
    <t xml:space="preserve">AT-00749</t>
  </si>
  <si>
    <t xml:space="preserve">AT-00750</t>
  </si>
  <si>
    <t xml:space="preserve">AT-00751</t>
  </si>
  <si>
    <t xml:space="preserve">AT-00752</t>
  </si>
  <si>
    <t xml:space="preserve">AT-00753</t>
  </si>
  <si>
    <t xml:space="preserve">AT-00754</t>
  </si>
  <si>
    <t xml:space="preserve">AT-00755</t>
  </si>
  <si>
    <t xml:space="preserve">AT-00756</t>
  </si>
  <si>
    <t xml:space="preserve">AT-00757</t>
  </si>
  <si>
    <t xml:space="preserve">AT-00758</t>
  </si>
  <si>
    <t xml:space="preserve">AT-00759</t>
  </si>
  <si>
    <t xml:space="preserve">AT-00760</t>
  </si>
  <si>
    <t xml:space="preserve">AT-00761</t>
  </si>
  <si>
    <t xml:space="preserve">AT-00762</t>
  </si>
  <si>
    <t xml:space="preserve">AT-00763</t>
  </si>
  <si>
    <t xml:space="preserve">AT-00764</t>
  </si>
  <si>
    <t xml:space="preserve">AT-00765</t>
  </si>
  <si>
    <t xml:space="preserve">AT-00766</t>
  </si>
  <si>
    <t xml:space="preserve">AT-00767</t>
  </si>
  <si>
    <t xml:space="preserve">AT-00768</t>
  </si>
  <si>
    <t xml:space="preserve">AT-00769</t>
  </si>
  <si>
    <t xml:space="preserve">AT-00770</t>
  </si>
  <si>
    <t xml:space="preserve">AT-00771</t>
  </si>
  <si>
    <t xml:space="preserve">AT-00772</t>
  </si>
  <si>
    <t xml:space="preserve">AT-00773</t>
  </si>
  <si>
    <t xml:space="preserve">AT-00774</t>
  </si>
  <si>
    <t xml:space="preserve">AT-00775</t>
  </si>
  <si>
    <t xml:space="preserve">AT-00776</t>
  </si>
  <si>
    <t xml:space="preserve">AT-00777</t>
  </si>
  <si>
    <t xml:space="preserve">AT-00778</t>
  </si>
  <si>
    <t xml:space="preserve">AT-00779</t>
  </si>
  <si>
    <t xml:space="preserve">AT-00780</t>
  </si>
  <si>
    <t xml:space="preserve">AT-00781</t>
  </si>
  <si>
    <t xml:space="preserve">AT-00782</t>
  </si>
  <si>
    <t xml:space="preserve">AT-00783</t>
  </si>
  <si>
    <t xml:space="preserve">AT-00784</t>
  </si>
  <si>
    <t xml:space="preserve">AT-00785</t>
  </si>
  <si>
    <t xml:space="preserve">AT-00786</t>
  </si>
  <si>
    <t xml:space="preserve">AT-00787</t>
  </si>
  <si>
    <t xml:space="preserve">AT-00788</t>
  </si>
  <si>
    <t xml:space="preserve">AT-00789</t>
  </si>
  <si>
    <t xml:space="preserve">AT-00790</t>
  </si>
  <si>
    <t xml:space="preserve">AT-00791</t>
  </si>
  <si>
    <t xml:space="preserve">AT-00792</t>
  </si>
  <si>
    <t xml:space="preserve">AT-00793</t>
  </si>
  <si>
    <t xml:space="preserve">AT-00794</t>
  </si>
  <si>
    <t xml:space="preserve">AT-00795</t>
  </si>
  <si>
    <t xml:space="preserve">AT-00796</t>
  </si>
  <si>
    <t xml:space="preserve">AT-00797</t>
  </si>
  <si>
    <t xml:space="preserve">AT-00798</t>
  </si>
  <si>
    <t xml:space="preserve">AT-00799</t>
  </si>
  <si>
    <t xml:space="preserve">AT-00800</t>
  </si>
  <si>
    <t xml:space="preserve">AT-00801</t>
  </si>
  <si>
    <t xml:space="preserve">AT-00802</t>
  </si>
  <si>
    <t xml:space="preserve">AT-00803</t>
  </si>
  <si>
    <t xml:space="preserve">AT-00804</t>
  </si>
  <si>
    <t xml:space="preserve">AT-00805</t>
  </si>
  <si>
    <t xml:space="preserve">AT-00806</t>
  </si>
  <si>
    <t xml:space="preserve">AT-00807</t>
  </si>
  <si>
    <t xml:space="preserve">AT-00808</t>
  </si>
  <si>
    <t xml:space="preserve">AT-00809</t>
  </si>
  <si>
    <t xml:space="preserve">AT-00810</t>
  </si>
  <si>
    <t xml:space="preserve">AT-00811</t>
  </si>
  <si>
    <t xml:space="preserve">AT-00812</t>
  </si>
  <si>
    <t xml:space="preserve">AT-00813</t>
  </si>
  <si>
    <t xml:space="preserve">AT-00814</t>
  </si>
  <si>
    <t xml:space="preserve">AT-00815</t>
  </si>
  <si>
    <t xml:space="preserve">AT-00816</t>
  </si>
  <si>
    <t xml:space="preserve">AT-00817</t>
  </si>
  <si>
    <t xml:space="preserve">AT-00818</t>
  </si>
  <si>
    <t xml:space="preserve">AT-00819</t>
  </si>
  <si>
    <t xml:space="preserve">AT-00820</t>
  </si>
  <si>
    <t xml:space="preserve">AT-00821</t>
  </si>
  <si>
    <t xml:space="preserve">AT-00822</t>
  </si>
  <si>
    <t xml:space="preserve">AT-00823</t>
  </si>
  <si>
    <t xml:space="preserve">AT-00824</t>
  </si>
  <si>
    <t xml:space="preserve">AT-00825</t>
  </si>
  <si>
    <t xml:space="preserve">AT-00826</t>
  </si>
  <si>
    <t xml:space="preserve">AT-00827</t>
  </si>
  <si>
    <t xml:space="preserve">AT-00828</t>
  </si>
  <si>
    <t xml:space="preserve">AT-00829</t>
  </si>
  <si>
    <t xml:space="preserve">AT-00830</t>
  </si>
  <si>
    <t xml:space="preserve">AT-00831</t>
  </si>
  <si>
    <t xml:space="preserve">AT-00832</t>
  </si>
  <si>
    <t xml:space="preserve">AT-00833</t>
  </si>
  <si>
    <t xml:space="preserve">AT-00834</t>
  </si>
  <si>
    <t xml:space="preserve">AT-00835</t>
  </si>
  <si>
    <t xml:space="preserve">AT-00836</t>
  </si>
  <si>
    <t xml:space="preserve">AT-00837</t>
  </si>
  <si>
    <t xml:space="preserve">AT-00838</t>
  </si>
  <si>
    <t xml:space="preserve">AT-00839</t>
  </si>
  <si>
    <t xml:space="preserve">AT-00840</t>
  </si>
  <si>
    <t xml:space="preserve">AT-00841</t>
  </si>
  <si>
    <t xml:space="preserve">AT-00842</t>
  </si>
  <si>
    <t xml:space="preserve">AT-00843</t>
  </si>
  <si>
    <t xml:space="preserve">AT-00844</t>
  </si>
  <si>
    <t xml:space="preserve">AT-00845</t>
  </si>
  <si>
    <t xml:space="preserve">AT-00846</t>
  </si>
  <si>
    <t xml:space="preserve">AT-00847</t>
  </si>
  <si>
    <t xml:space="preserve">AT-00848</t>
  </si>
  <si>
    <t xml:space="preserve">AT-00849</t>
  </si>
  <si>
    <t xml:space="preserve">AT-00850</t>
  </si>
  <si>
    <t xml:space="preserve">AT-00851</t>
  </si>
  <si>
    <t xml:space="preserve">AT-00852</t>
  </si>
  <si>
    <t xml:space="preserve">AT-00853</t>
  </si>
  <si>
    <t xml:space="preserve">AT-00854</t>
  </si>
  <si>
    <t xml:space="preserve">AT-00855</t>
  </si>
  <si>
    <t xml:space="preserve">AT-00856</t>
  </si>
  <si>
    <t xml:space="preserve">AT-00857</t>
  </si>
  <si>
    <t xml:space="preserve">AT-00858</t>
  </si>
  <si>
    <t xml:space="preserve">AT-00859</t>
  </si>
  <si>
    <t xml:space="preserve">AT-00860</t>
  </si>
  <si>
    <t xml:space="preserve">AT-00861</t>
  </si>
  <si>
    <t xml:space="preserve">AT-00862</t>
  </si>
  <si>
    <t xml:space="preserve">AT-00863</t>
  </si>
  <si>
    <t xml:space="preserve">AT-00864</t>
  </si>
  <si>
    <t xml:space="preserve">AT-00865</t>
  </si>
  <si>
    <t xml:space="preserve">AT-00866</t>
  </si>
  <si>
    <t xml:space="preserve">AT-00867</t>
  </si>
  <si>
    <t xml:space="preserve">AT-00868</t>
  </si>
  <si>
    <t xml:space="preserve">AT-00869</t>
  </si>
  <si>
    <t xml:space="preserve">AT-00870</t>
  </si>
  <si>
    <t xml:space="preserve">AT-00871</t>
  </si>
  <si>
    <t xml:space="preserve">AT-00872</t>
  </si>
  <si>
    <t xml:space="preserve">AT-00873</t>
  </si>
  <si>
    <t xml:space="preserve">AT-00874</t>
  </si>
  <si>
    <t xml:space="preserve">AT-00875</t>
  </si>
  <si>
    <t xml:space="preserve">AT-00876</t>
  </si>
  <si>
    <t xml:space="preserve">AT-00877</t>
  </si>
  <si>
    <t xml:space="preserve">AT-00878</t>
  </si>
  <si>
    <t xml:space="preserve">AT-00879</t>
  </si>
  <si>
    <t xml:space="preserve">AT-00880</t>
  </si>
  <si>
    <t xml:space="preserve">AT-00881</t>
  </si>
  <si>
    <t xml:space="preserve">AT-00882</t>
  </si>
  <si>
    <t xml:space="preserve">AT-00883</t>
  </si>
  <si>
    <t xml:space="preserve">AT-00884</t>
  </si>
  <si>
    <t xml:space="preserve">AT-00885</t>
  </si>
  <si>
    <t xml:space="preserve">AT-00886</t>
  </si>
  <si>
    <t xml:space="preserve">AT-00887</t>
  </si>
  <si>
    <t xml:space="preserve">AT-00888</t>
  </si>
  <si>
    <t xml:space="preserve">AT-00889</t>
  </si>
  <si>
    <t xml:space="preserve">AT-00890</t>
  </si>
  <si>
    <t xml:space="preserve">AT-00891</t>
  </si>
  <si>
    <t xml:space="preserve">AT-00892</t>
  </si>
  <si>
    <t xml:space="preserve">AT-00893</t>
  </si>
  <si>
    <t xml:space="preserve">AT-00894</t>
  </si>
  <si>
    <t xml:space="preserve">AT-00895</t>
  </si>
  <si>
    <t xml:space="preserve">AT-00896</t>
  </si>
  <si>
    <t xml:space="preserve">AT-00897</t>
  </si>
  <si>
    <t xml:space="preserve">AT-00898</t>
  </si>
  <si>
    <t xml:space="preserve">AT-00899</t>
  </si>
  <si>
    <t xml:space="preserve">AT-00900</t>
  </si>
  <si>
    <t xml:space="preserve">AT-00901</t>
  </si>
  <si>
    <t xml:space="preserve">AT-00902</t>
  </si>
  <si>
    <t xml:space="preserve">AT-00903</t>
  </si>
  <si>
    <t xml:space="preserve">AT-00904</t>
  </si>
  <si>
    <t xml:space="preserve">AT-00905</t>
  </si>
  <si>
    <t xml:space="preserve">AT-00906</t>
  </si>
  <si>
    <t xml:space="preserve">AT-00907</t>
  </si>
  <si>
    <t xml:space="preserve">AT-00908</t>
  </si>
  <si>
    <t xml:space="preserve">AT-00909</t>
  </si>
  <si>
    <t xml:space="preserve">AT-00910</t>
  </si>
  <si>
    <t xml:space="preserve">AT-00911</t>
  </si>
  <si>
    <t xml:space="preserve">AT-00912</t>
  </si>
  <si>
    <t xml:space="preserve">AT-00913</t>
  </si>
  <si>
    <t xml:space="preserve">AT-00914</t>
  </si>
  <si>
    <t xml:space="preserve">AT-00915</t>
  </si>
  <si>
    <t xml:space="preserve">AT-00916</t>
  </si>
  <si>
    <t xml:space="preserve">AT-00917</t>
  </si>
  <si>
    <t xml:space="preserve">AT-00918</t>
  </si>
  <si>
    <t xml:space="preserve">AT-00919</t>
  </si>
  <si>
    <t xml:space="preserve">AT-00920</t>
  </si>
  <si>
    <t xml:space="preserve">AT-00921</t>
  </si>
  <si>
    <t xml:space="preserve">AT-00922</t>
  </si>
  <si>
    <t xml:space="preserve">AT-00923</t>
  </si>
  <si>
    <t xml:space="preserve">AT-00924</t>
  </si>
  <si>
    <t xml:space="preserve">AT-00925</t>
  </si>
  <si>
    <t xml:space="preserve">AT-00926</t>
  </si>
  <si>
    <t xml:space="preserve">AT-00927</t>
  </si>
  <si>
    <t xml:space="preserve">AT-00928</t>
  </si>
  <si>
    <t xml:space="preserve">AT-00929</t>
  </si>
  <si>
    <t xml:space="preserve">AT-00930</t>
  </si>
  <si>
    <t xml:space="preserve">AT-00931</t>
  </si>
  <si>
    <t xml:space="preserve">AT-00932</t>
  </si>
  <si>
    <t xml:space="preserve">AT-00933</t>
  </si>
  <si>
    <t xml:space="preserve">AT-00934</t>
  </si>
  <si>
    <t xml:space="preserve">AT-00935</t>
  </si>
  <si>
    <t xml:space="preserve">AT-00936</t>
  </si>
  <si>
    <t xml:space="preserve">AT-00937</t>
  </si>
  <si>
    <t xml:space="preserve">AT-00938</t>
  </si>
  <si>
    <t xml:space="preserve">AT-00939</t>
  </si>
  <si>
    <t xml:space="preserve">AT-00940</t>
  </si>
  <si>
    <t xml:space="preserve">AT-00941</t>
  </si>
  <si>
    <t xml:space="preserve">AT-00942</t>
  </si>
  <si>
    <t xml:space="preserve">AT-00943</t>
  </si>
  <si>
    <t xml:space="preserve">AT-00944</t>
  </si>
  <si>
    <t xml:space="preserve">AT-00945</t>
  </si>
  <si>
    <t xml:space="preserve">AT-00946</t>
  </si>
  <si>
    <t xml:space="preserve">AT-00947</t>
  </si>
  <si>
    <t xml:space="preserve">AT-00948</t>
  </si>
  <si>
    <t xml:space="preserve">AT-00949</t>
  </si>
  <si>
    <t xml:space="preserve">AT-00950</t>
  </si>
  <si>
    <t xml:space="preserve">AT-00951</t>
  </si>
  <si>
    <t xml:space="preserve">AT-00952</t>
  </si>
  <si>
    <t xml:space="preserve">AT-00953</t>
  </si>
  <si>
    <t xml:space="preserve">AT-00954</t>
  </si>
  <si>
    <t xml:space="preserve">AT-00955</t>
  </si>
  <si>
    <t xml:space="preserve">AT-00956</t>
  </si>
  <si>
    <t xml:space="preserve">AT-00957</t>
  </si>
  <si>
    <t xml:space="preserve">AT-00958</t>
  </si>
  <si>
    <t xml:space="preserve">AT-00959</t>
  </si>
  <si>
    <t xml:space="preserve">AT-00960</t>
  </si>
  <si>
    <t xml:space="preserve">AT-00961</t>
  </si>
  <si>
    <t xml:space="preserve">AT-00962</t>
  </si>
  <si>
    <t xml:space="preserve">AT-00963</t>
  </si>
  <si>
    <t xml:space="preserve">AT-00964</t>
  </si>
  <si>
    <t xml:space="preserve">AT-00965</t>
  </si>
  <si>
    <t xml:space="preserve">AT-00966</t>
  </si>
  <si>
    <t xml:space="preserve">AT-00967</t>
  </si>
  <si>
    <t xml:space="preserve">AT-00968</t>
  </si>
  <si>
    <t xml:space="preserve">AT-00969</t>
  </si>
  <si>
    <t xml:space="preserve">AT-00970</t>
  </si>
  <si>
    <t xml:space="preserve">AT-00971</t>
  </si>
  <si>
    <t xml:space="preserve">AT-00972</t>
  </si>
  <si>
    <t xml:space="preserve">AT-00973</t>
  </si>
  <si>
    <t xml:space="preserve">AT-00974</t>
  </si>
  <si>
    <t xml:space="preserve">AT-00975</t>
  </si>
  <si>
    <t xml:space="preserve">AT-00976</t>
  </si>
  <si>
    <t xml:space="preserve">AT-00977</t>
  </si>
  <si>
    <t xml:space="preserve">AT-00978</t>
  </si>
  <si>
    <t xml:space="preserve">AT-00979</t>
  </si>
  <si>
    <t xml:space="preserve">AT-00980</t>
  </si>
  <si>
    <t xml:space="preserve">AT-00981</t>
  </si>
  <si>
    <t xml:space="preserve">AT-00982</t>
  </si>
  <si>
    <t xml:space="preserve">AT-00983</t>
  </si>
  <si>
    <t xml:space="preserve">AT-00984</t>
  </si>
  <si>
    <t xml:space="preserve">AT-00985</t>
  </si>
  <si>
    <t xml:space="preserve">AT-00986</t>
  </si>
  <si>
    <t xml:space="preserve">AT-00987</t>
  </si>
  <si>
    <t xml:space="preserve">AT-00988</t>
  </si>
  <si>
    <t xml:space="preserve">AT-00989</t>
  </si>
  <si>
    <t xml:space="preserve">AT-00990</t>
  </si>
  <si>
    <t xml:space="preserve">AT-00991</t>
  </si>
  <si>
    <t xml:space="preserve">AT-00992</t>
  </si>
  <si>
    <t xml:space="preserve">AT-00993</t>
  </si>
  <si>
    <t xml:space="preserve">AT-00994</t>
  </si>
  <si>
    <t xml:space="preserve">AT-00995</t>
  </si>
  <si>
    <t xml:space="preserve">AT-00996</t>
  </si>
  <si>
    <t xml:space="preserve">AT-00997</t>
  </si>
  <si>
    <t xml:space="preserve">AT-00998</t>
  </si>
  <si>
    <t xml:space="preserve">AT-00999</t>
  </si>
  <si>
    <t xml:space="preserve">AT-01000</t>
  </si>
  <si>
    <t xml:space="preserve">AT-01001</t>
  </si>
  <si>
    <t xml:space="preserve">AT-01002</t>
  </si>
  <si>
    <t xml:space="preserve">AT-01003</t>
  </si>
  <si>
    <t xml:space="preserve">AT-01004</t>
  </si>
  <si>
    <t xml:space="preserve">AT-01005</t>
  </si>
  <si>
    <t xml:space="preserve">AT-01006</t>
  </si>
  <si>
    <t xml:space="preserve">AT-01007</t>
  </si>
  <si>
    <t xml:space="preserve">AT-01008</t>
  </si>
  <si>
    <t xml:space="preserve">AT-01009</t>
  </si>
  <si>
    <t xml:space="preserve">AT-01010</t>
  </si>
  <si>
    <t xml:space="preserve">AT-01011</t>
  </si>
  <si>
    <t xml:space="preserve">AT-01012</t>
  </si>
  <si>
    <t xml:space="preserve">AT-01013</t>
  </si>
  <si>
    <t xml:space="preserve">AT-01014</t>
  </si>
  <si>
    <t xml:space="preserve">AT-01015</t>
  </si>
  <si>
    <t xml:space="preserve">AT-01016</t>
  </si>
  <si>
    <t xml:space="preserve">AT-01017</t>
  </si>
  <si>
    <t xml:space="preserve">AT-01018</t>
  </si>
  <si>
    <t xml:space="preserve">AT-01019</t>
  </si>
  <si>
    <t xml:space="preserve">AT-01020</t>
  </si>
  <si>
    <t xml:space="preserve">AT-01021</t>
  </si>
  <si>
    <t xml:space="preserve">AT-01022</t>
  </si>
  <si>
    <t xml:space="preserve">AT-01023</t>
  </si>
  <si>
    <t xml:space="preserve">AT-01024</t>
  </si>
  <si>
    <t xml:space="preserve">AT-01025</t>
  </si>
  <si>
    <t xml:space="preserve">AT-01026</t>
  </si>
  <si>
    <t xml:space="preserve">AT-01027</t>
  </si>
  <si>
    <t xml:space="preserve">AT-01028</t>
  </si>
  <si>
    <t xml:space="preserve">AT-01029</t>
  </si>
  <si>
    <t xml:space="preserve">AT-01030</t>
  </si>
  <si>
    <t xml:space="preserve">AT-01031</t>
  </si>
  <si>
    <t xml:space="preserve">AT-01032</t>
  </si>
  <si>
    <t xml:space="preserve">AT-01033</t>
  </si>
  <si>
    <t xml:space="preserve">AT-01034</t>
  </si>
  <si>
    <t xml:space="preserve">AT-01035</t>
  </si>
  <si>
    <t xml:space="preserve">AT-01036</t>
  </si>
  <si>
    <t xml:space="preserve">AT-01037</t>
  </si>
  <si>
    <t xml:space="preserve">AT-01038</t>
  </si>
  <si>
    <t xml:space="preserve">AT-01039</t>
  </si>
  <si>
    <t xml:space="preserve">AT-01040</t>
  </si>
  <si>
    <t xml:space="preserve">AT-01041</t>
  </si>
  <si>
    <t xml:space="preserve">AT-01042</t>
  </si>
  <si>
    <t xml:space="preserve">AT-01043</t>
  </si>
  <si>
    <t xml:space="preserve">AT-01044</t>
  </si>
  <si>
    <t xml:space="preserve">AT-01045</t>
  </si>
  <si>
    <t xml:space="preserve">AT-01046</t>
  </si>
  <si>
    <t xml:space="preserve">AT-01047</t>
  </si>
  <si>
    <t xml:space="preserve">AT-01048</t>
  </si>
  <si>
    <t xml:space="preserve">AT-01049</t>
  </si>
  <si>
    <t xml:space="preserve">AT-01050</t>
  </si>
  <si>
    <t xml:space="preserve">AT-01051</t>
  </si>
  <si>
    <t xml:space="preserve">AT-01052</t>
  </si>
  <si>
    <t xml:space="preserve">AT-01053</t>
  </si>
  <si>
    <t xml:space="preserve">AT-01054</t>
  </si>
  <si>
    <t xml:space="preserve">AT-01055</t>
  </si>
  <si>
    <t xml:space="preserve">AT-01056</t>
  </si>
  <si>
    <t xml:space="preserve">AT-01057</t>
  </si>
  <si>
    <t xml:space="preserve">AT-01058</t>
  </si>
  <si>
    <t xml:space="preserve">AT-01059</t>
  </si>
  <si>
    <t xml:space="preserve">AT-01060</t>
  </si>
  <si>
    <t xml:space="preserve">AT-01061</t>
  </si>
  <si>
    <t xml:space="preserve">AT-01062</t>
  </si>
  <si>
    <t xml:space="preserve">AT-01063</t>
  </si>
  <si>
    <t xml:space="preserve">AT-01064</t>
  </si>
  <si>
    <t xml:space="preserve">AT-01065</t>
  </si>
  <si>
    <t xml:space="preserve">AT-01066</t>
  </si>
  <si>
    <t xml:space="preserve">AT-01067</t>
  </si>
  <si>
    <t xml:space="preserve">AT-01068</t>
  </si>
  <si>
    <t xml:space="preserve">AT-01069</t>
  </si>
  <si>
    <t xml:space="preserve">AT-01070</t>
  </si>
  <si>
    <t xml:space="preserve">AT-01071</t>
  </si>
  <si>
    <t xml:space="preserve">AT-01072</t>
  </si>
  <si>
    <t xml:space="preserve">AT-01073</t>
  </si>
  <si>
    <t xml:space="preserve">AT-01074</t>
  </si>
  <si>
    <t xml:space="preserve">AT-01075</t>
  </si>
  <si>
    <t xml:space="preserve">AT-01076</t>
  </si>
  <si>
    <t xml:space="preserve">AT-01077</t>
  </si>
  <si>
    <t xml:space="preserve">AT-01078</t>
  </si>
  <si>
    <t xml:space="preserve">AT-01079</t>
  </si>
  <si>
    <t xml:space="preserve">AT-01080</t>
  </si>
  <si>
    <t xml:space="preserve">AT-01081</t>
  </si>
  <si>
    <t xml:space="preserve">AT-01082</t>
  </si>
  <si>
    <t xml:space="preserve">AT-01083</t>
  </si>
  <si>
    <t xml:space="preserve">AT-01084</t>
  </si>
  <si>
    <t xml:space="preserve">AT-01085</t>
  </si>
  <si>
    <t xml:space="preserve">AT-01086</t>
  </si>
  <si>
    <t xml:space="preserve">AT-01087</t>
  </si>
  <si>
    <t xml:space="preserve">AT-01088</t>
  </si>
  <si>
    <t xml:space="preserve">AT-01089</t>
  </si>
  <si>
    <t xml:space="preserve">AT-01090</t>
  </si>
  <si>
    <t xml:space="preserve">AT-01091</t>
  </si>
  <si>
    <t xml:space="preserve">AT-01092</t>
  </si>
  <si>
    <t xml:space="preserve">AT-01093</t>
  </si>
  <si>
    <t xml:space="preserve">AT-01094</t>
  </si>
  <si>
    <t xml:space="preserve">AT-01095</t>
  </si>
  <si>
    <t xml:space="preserve">AT-01096</t>
  </si>
  <si>
    <t xml:space="preserve">AT-01097</t>
  </si>
  <si>
    <t xml:space="preserve">AT-01098</t>
  </si>
  <si>
    <t xml:space="preserve">AT-01099</t>
  </si>
  <si>
    <t xml:space="preserve">AT-01100</t>
  </si>
  <si>
    <t xml:space="preserve">AT-01101</t>
  </si>
  <si>
    <t xml:space="preserve">AT-01102</t>
  </si>
  <si>
    <t xml:space="preserve">AT-01103</t>
  </si>
  <si>
    <t xml:space="preserve">AT-01104</t>
  </si>
  <si>
    <t xml:space="preserve">AT-01105</t>
  </si>
  <si>
    <t xml:space="preserve">AT-01106</t>
  </si>
  <si>
    <t xml:space="preserve">AT-01107</t>
  </si>
  <si>
    <t xml:space="preserve">AT-01108</t>
  </si>
  <si>
    <t xml:space="preserve">AT-01109</t>
  </si>
  <si>
    <t xml:space="preserve">AT-01110</t>
  </si>
  <si>
    <t xml:space="preserve">AT-01111</t>
  </si>
  <si>
    <t xml:space="preserve">AT-01112</t>
  </si>
  <si>
    <t xml:space="preserve">AT-01113</t>
  </si>
  <si>
    <t xml:space="preserve">AT-01114</t>
  </si>
  <si>
    <t xml:space="preserve">AT-01115</t>
  </si>
  <si>
    <t xml:space="preserve">AT-01116</t>
  </si>
  <si>
    <t xml:space="preserve">AT-01117</t>
  </si>
  <si>
    <t xml:space="preserve">AT-01118</t>
  </si>
  <si>
    <t xml:space="preserve">AT-01119</t>
  </si>
  <si>
    <t xml:space="preserve">AT-01120</t>
  </si>
  <si>
    <t xml:space="preserve">AT-01121</t>
  </si>
  <si>
    <t xml:space="preserve">AT-01122</t>
  </si>
  <si>
    <t xml:space="preserve">AT-01123</t>
  </si>
  <si>
    <t xml:space="preserve">AT-01124</t>
  </si>
  <si>
    <t xml:space="preserve">AT-01125</t>
  </si>
  <si>
    <t xml:space="preserve">AT-01126</t>
  </si>
  <si>
    <t xml:space="preserve">AT-01127</t>
  </si>
  <si>
    <t xml:space="preserve">AT-01128</t>
  </si>
  <si>
    <t xml:space="preserve">AT-01129</t>
  </si>
  <si>
    <t xml:space="preserve">AT-01130</t>
  </si>
  <si>
    <t xml:space="preserve">AT-01131</t>
  </si>
  <si>
    <t xml:space="preserve">AT-01132</t>
  </si>
  <si>
    <t xml:space="preserve">AT-01133</t>
  </si>
  <si>
    <t xml:space="preserve">AT-01134</t>
  </si>
  <si>
    <t xml:space="preserve">AT-01135</t>
  </si>
  <si>
    <t xml:space="preserve">AT-01136</t>
  </si>
  <si>
    <t xml:space="preserve">AT-01137</t>
  </si>
  <si>
    <t xml:space="preserve">AT-01138</t>
  </si>
  <si>
    <t xml:space="preserve">AT-01139</t>
  </si>
  <si>
    <t xml:space="preserve">AT-01140</t>
  </si>
  <si>
    <t xml:space="preserve">AT-01141</t>
  </si>
  <si>
    <t xml:space="preserve">AT-01142</t>
  </si>
  <si>
    <t xml:space="preserve">AT-01143</t>
  </si>
  <si>
    <t xml:space="preserve">AT-01144</t>
  </si>
  <si>
    <t xml:space="preserve">AT-01145</t>
  </si>
  <si>
    <t xml:space="preserve">AT-01146</t>
  </si>
  <si>
    <t xml:space="preserve">AT-01147</t>
  </si>
  <si>
    <t xml:space="preserve">AT-01148</t>
  </si>
  <si>
    <t xml:space="preserve">AT-01149</t>
  </si>
  <si>
    <t xml:space="preserve">AT-01150</t>
  </si>
  <si>
    <t xml:space="preserve">AT-01151</t>
  </si>
  <si>
    <t xml:space="preserve">AT-01152</t>
  </si>
  <si>
    <t xml:space="preserve">AT-01153</t>
  </si>
  <si>
    <t xml:space="preserve">AT-01154</t>
  </si>
  <si>
    <t xml:space="preserve">AT-01155</t>
  </si>
  <si>
    <t xml:space="preserve">AT-01156</t>
  </si>
  <si>
    <t xml:space="preserve">AT-01157</t>
  </si>
  <si>
    <t xml:space="preserve">AT-01158</t>
  </si>
  <si>
    <t xml:space="preserve">AT-01159</t>
  </si>
  <si>
    <t xml:space="preserve">AT-01160</t>
  </si>
  <si>
    <t xml:space="preserve">AT-01161</t>
  </si>
  <si>
    <t xml:space="preserve">AT-01162</t>
  </si>
  <si>
    <t xml:space="preserve">AT-01163</t>
  </si>
  <si>
    <t xml:space="preserve">AT-01164</t>
  </si>
  <si>
    <t xml:space="preserve">AT-01165</t>
  </si>
  <si>
    <t xml:space="preserve">AT-01166</t>
  </si>
  <si>
    <t xml:space="preserve">AT-01167</t>
  </si>
  <si>
    <t xml:space="preserve">AT-01168</t>
  </si>
  <si>
    <t xml:space="preserve">AT-01169</t>
  </si>
  <si>
    <t xml:space="preserve">AT-01170</t>
  </si>
  <si>
    <t xml:space="preserve">AT-01171</t>
  </si>
  <si>
    <t xml:space="preserve">AT-01172</t>
  </si>
  <si>
    <t xml:space="preserve">AT-01173</t>
  </si>
  <si>
    <t xml:space="preserve">AT-01174</t>
  </si>
  <si>
    <t xml:space="preserve">AT-01175</t>
  </si>
  <si>
    <t xml:space="preserve">AT-01176</t>
  </si>
  <si>
    <t xml:space="preserve">AT-01177</t>
  </si>
  <si>
    <t xml:space="preserve">AT-01178</t>
  </si>
  <si>
    <t xml:space="preserve">AT-01179</t>
  </si>
  <si>
    <t xml:space="preserve">AT-01180</t>
  </si>
  <si>
    <t xml:space="preserve">AT-01181</t>
  </si>
  <si>
    <t xml:space="preserve">AT-01182</t>
  </si>
  <si>
    <t xml:space="preserve">AT-01183</t>
  </si>
  <si>
    <t xml:space="preserve">AT-01184</t>
  </si>
  <si>
    <t xml:space="preserve">AT-01185</t>
  </si>
  <si>
    <t xml:space="preserve">AT-01186</t>
  </si>
  <si>
    <t xml:space="preserve">AT-01187</t>
  </si>
  <si>
    <t xml:space="preserve">AT-01188</t>
  </si>
  <si>
    <t xml:space="preserve">AT-01189</t>
  </si>
  <si>
    <t xml:space="preserve">AT-01190</t>
  </si>
  <si>
    <t xml:space="preserve">AT-01191</t>
  </si>
  <si>
    <t xml:space="preserve">AT-01192</t>
  </si>
  <si>
    <t xml:space="preserve">AT-01193</t>
  </si>
  <si>
    <t xml:space="preserve">AT-01194</t>
  </si>
  <si>
    <t xml:space="preserve">AT-01195</t>
  </si>
  <si>
    <t xml:space="preserve">AT-01196</t>
  </si>
  <si>
    <t xml:space="preserve">AT-01197</t>
  </si>
  <si>
    <t xml:space="preserve">AT-01198</t>
  </si>
  <si>
    <t xml:space="preserve">AT-01199</t>
  </si>
  <si>
    <t xml:space="preserve">AT-01200</t>
  </si>
  <si>
    <t xml:space="preserve">Parâmetros e regras de cálculo</t>
  </si>
  <si>
    <t xml:space="preserve">METAS ILUSTRATIVAS: servem para demonstrar alertas. Não são resultados reais da Daki nem de nenhum empregador anterior. Os dados da aba 01_Base são sintéticos.</t>
  </si>
  <si>
    <t xml:space="preserve">Células amarelas com texto azul podem ser alteradas. O restante é fórmula ou regra fixa.</t>
  </si>
  <si>
    <t xml:space="preserve">Indicador</t>
  </si>
  <si>
    <t xml:space="preserve">Meta</t>
  </si>
  <si>
    <t xml:space="preserve">Sentido</t>
  </si>
  <si>
    <t xml:space="preserve">Tolerância (Atenção)</t>
  </si>
  <si>
    <t xml:space="preserve">Regra de cálculo e elegibilidade</t>
  </si>
  <si>
    <t xml:space="preserve">Volume: utilização da capacidade (limite)</t>
  </si>
  <si>
    <t xml:space="preserve">Menor</t>
  </si>
  <si>
    <t xml:space="preserve">Volume médio por dia útil ÷ capacidade diária (atendentes × meta de produtividade). Acima do limite = pressão.</t>
  </si>
  <si>
    <t xml:space="preserve">TMA (min)</t>
  </si>
  <si>
    <t xml:space="preserve">Elegíveis: status Resolvido. Média de Tempo_Atendimento_min.</t>
  </si>
  <si>
    <t xml:space="preserve">SLA de 1ª resposta</t>
  </si>
  <si>
    <t xml:space="preserve">Maior</t>
  </si>
  <si>
    <t xml:space="preserve">Elegíveis: registros com Tempo_1a_Resposta_min medido. Dentro do SLA = tempo ≤ prazo do canal.</t>
  </si>
  <si>
    <t xml:space="preserve">Produtividade (resolvidos por atendente por dia útil)</t>
  </si>
  <si>
    <t xml:space="preserve">Resolvidos ÷ (atendentes × dias úteis do período). Atendentes: os da equipe filtrada, ou todos.</t>
  </si>
  <si>
    <t xml:space="preserve">CSAT</t>
  </si>
  <si>
    <t xml:space="preserve">Elegíveis: registros com nota. Satisfeito = nota 4 ou 5.</t>
  </si>
  <si>
    <t xml:space="preserve">FCR</t>
  </si>
  <si>
    <t xml:space="preserve">Elegíveis: status Resolvido. FCR = Resolvido_1o_Contato igual a Sim.</t>
  </si>
  <si>
    <t xml:space="preserve">Prazo da 1ª resposta por canal</t>
  </si>
  <si>
    <t xml:space="preserve">Prazo (min)</t>
  </si>
  <si>
    <t xml:space="preserve">Observação</t>
  </si>
  <si>
    <t xml:space="preserve">ilustrativo</t>
  </si>
  <si>
    <t xml:space="preserve">Atendentes e equipes</t>
  </si>
  <si>
    <t xml:space="preserve">Listas</t>
  </si>
  <si>
    <t xml:space="preserve">Equipes</t>
  </si>
  <si>
    <t xml:space="preserve">Motivos</t>
  </si>
  <si>
    <t xml:space="preserve">Período da base</t>
  </si>
  <si>
    <t xml:space="preserve">Primeira abertura</t>
  </si>
  <si>
    <t xml:space="preserve">Última abertura</t>
  </si>
  <si>
    <t xml:space="preserve">Dashboard de performance operacional e CX</t>
  </si>
  <si>
    <t xml:space="preserve">Base sintética de 1.200 atendimentos (set e out de 2026). Metas ilustrativas, sem relação com resultados reais de qualquer empresa.</t>
  </si>
  <si>
    <t xml:space="preserve">Cálculos de apoio (não editar)</t>
  </si>
  <si>
    <t xml:space="preserve">Período: de</t>
  </si>
  <si>
    <t xml:space="preserve">até</t>
  </si>
  <si>
    <t xml:space="preserve">Critério canal</t>
  </si>
  <si>
    <t xml:space="preserve">Todos</t>
  </si>
  <si>
    <t xml:space="preserve">Critério equipe</t>
  </si>
  <si>
    <t xml:space="preserve">Critério motivo</t>
  </si>
  <si>
    <t xml:space="preserve">Data inicial</t>
  </si>
  <si>
    <t xml:space="preserve">Volume de atendimentos</t>
  </si>
  <si>
    <t xml:space="preserve">TMA</t>
  </si>
  <si>
    <t xml:space="preserve">Produtividade</t>
  </si>
  <si>
    <t xml:space="preserve">Data final</t>
  </si>
  <si>
    <t xml:space="preserve">Atendentes no filtro</t>
  </si>
  <si>
    <t xml:space="preserve">Dias úteis no período</t>
  </si>
  <si>
    <t xml:space="preserve">Volume</t>
  </si>
  <si>
    <t xml:space="preserve">O volume está pressionando a capacidade?</t>
  </si>
  <si>
    <t xml:space="preserve">Em qual canal o SLA está abaixo da meta?</t>
  </si>
  <si>
    <t xml:space="preserve">Resolvidos</t>
  </si>
  <si>
    <t xml:space="preserve">SLA elegíveis</t>
  </si>
  <si>
    <t xml:space="preserve">SLA dentro do prazo</t>
  </si>
  <si>
    <t xml:space="preserve">SLA %</t>
  </si>
  <si>
    <t xml:space="preserve">CSAT respostas</t>
  </si>
  <si>
    <t xml:space="preserve">CSAT satisfeitas</t>
  </si>
  <si>
    <t xml:space="preserve">CSAT %</t>
  </si>
  <si>
    <t xml:space="preserve">FCR resolvidos no 1º contato</t>
  </si>
  <si>
    <t xml:space="preserve">FCR %</t>
  </si>
  <si>
    <t xml:space="preserve">Capacidade diária</t>
  </si>
  <si>
    <t xml:space="preserve">Volume médio por dia útil</t>
  </si>
  <si>
    <t xml:space="preserve">Utilização da capacidade</t>
  </si>
  <si>
    <t xml:space="preserve">SLA por canal</t>
  </si>
  <si>
    <t xml:space="preserve">Elegíveis</t>
  </si>
  <si>
    <t xml:space="preserve">Dentro</t>
  </si>
  <si>
    <t xml:space="preserve">Quais motivos derrubam o CSAT?</t>
  </si>
  <si>
    <t xml:space="preserve">A carga está bem distribuída entre as equipes?</t>
  </si>
  <si>
    <t xml:space="preserve">CSAT por motivo</t>
  </si>
  <si>
    <t xml:space="preserve">Respostas</t>
  </si>
  <si>
    <t xml:space="preserve">Satisfeitas</t>
  </si>
  <si>
    <t xml:space="preserve">FCR resolvidos</t>
  </si>
  <si>
    <t xml:space="preserve">FCR sim</t>
  </si>
  <si>
    <t xml:space="preserve">Produtividade por equipe</t>
  </si>
  <si>
    <t xml:space="preserve">Atendentes</t>
  </si>
  <si>
    <t xml:space="preserve">Diagnóstico → Impacto → Ação → Melhoria</t>
  </si>
  <si>
    <t xml:space="preserve">Diagnóstico</t>
  </si>
  <si>
    <t xml:space="preserve">Impacto</t>
  </si>
  <si>
    <t xml:space="preserve">Semana (início)</t>
  </si>
  <si>
    <t xml:space="preserve">Capacidade semanal</t>
  </si>
  <si>
    <t xml:space="preserve">SLA dentro</t>
  </si>
  <si>
    <t xml:space="preserve">Meta SLA</t>
  </si>
  <si>
    <t xml:space="preserve">Ação: SLA</t>
  </si>
  <si>
    <t xml:space="preserve">Ação: CSAT e FCR</t>
  </si>
  <si>
    <t xml:space="preserve">Ação: capacidade</t>
  </si>
  <si>
    <t xml:space="preserve">Melhoria</t>
  </si>
  <si>
    <t xml:space="preserve">Plano de ação (preencha)</t>
  </si>
  <si>
    <t xml:space="preserve">Ação</t>
  </si>
  <si>
    <t xml:space="preserve">Responsável</t>
  </si>
  <si>
    <t xml:space="preserve">Prazo</t>
  </si>
  <si>
    <t xml:space="preserve">Situação</t>
  </si>
  <si>
    <t xml:space="preserve">Como ler: cada gráfico respeita os filtros acima, exceto o da própria dimensão (o gráfico por canal mostra todos os canais, o por motivo mostra todos os motivos, e assim por diante). A evolução semanal respeita todos.</t>
  </si>
  <si>
    <t xml:space="preserve">Dados sintéticos gerados para demonstração, sem relação com operações reais. Metas e prazos de SLA são ilustrativos e ficam na aba 02_Parâmetros.</t>
  </si>
  <si>
    <t xml:space="preserve">CSAT usa só os atendimentos com nota (cerca de 36%). SLA usa os registros com 1ª resposta medida. TMA, FCR e produtividade usam os resolvidos.</t>
  </si>
  <si>
    <t xml:space="preserve">Validação das fórmulas e da base</t>
  </si>
  <si>
    <t xml:space="preserve">Cada teste compara um resultado com o esperado. A situação deve ser OK em todos os testes.</t>
  </si>
  <si>
    <t xml:space="preserve">Teste</t>
  </si>
  <si>
    <t xml:space="preserve">Resultado</t>
  </si>
  <si>
    <t xml:space="preserve">Esperado</t>
  </si>
  <si>
    <t xml:space="preserve">Linhas na base</t>
  </si>
  <si>
    <t xml:space="preserve">1.200 atendimentos sintéticos</t>
  </si>
  <si>
    <t xml:space="preserve">IDs duplicados</t>
  </si>
  <si>
    <t xml:space="preserve">Aberturas fora de 01/09/2026 a 30/10/2026</t>
  </si>
  <si>
    <t xml:space="preserve">Período previsto da base</t>
  </si>
  <si>
    <t xml:space="preserve">Campos obrigatórios em branco</t>
  </si>
  <si>
    <t xml:space="preserve">ID, data, canal, equipe, atendente, motivo e status</t>
  </si>
  <si>
    <t xml:space="preserve">Canal fora da lista</t>
  </si>
  <si>
    <t xml:space="preserve">Equipe fora da lista</t>
  </si>
  <si>
    <t xml:space="preserve">Motivo fora da lista</t>
  </si>
  <si>
    <t xml:space="preserve">Status diferente de Resolvido ou Pendente</t>
  </si>
  <si>
    <t xml:space="preserve">Atendente com equipe diferente do cadastro</t>
  </si>
  <si>
    <t xml:space="preserve">Notas fora de 1 a 5</t>
  </si>
  <si>
    <t xml:space="preserve">Resolvidos com tempo de atendimento menor ou igual a 0</t>
  </si>
  <si>
    <t xml:space="preserve">Pendentes com FCR preenchido</t>
  </si>
  <si>
    <t xml:space="preserve">FCR só vale para resolvidos</t>
  </si>
  <si>
    <t xml:space="preserve">Resolvidos sem FCR preenchido</t>
  </si>
  <si>
    <t xml:space="preserve">Conferência dos seis indicadores, recalculados por outro caminho (SUMPRODUCT), com os filtros atuais do dashboard</t>
  </si>
  <si>
    <t xml:space="preserve">Dashboard</t>
  </si>
  <si>
    <t xml:space="preserve">Recalculado</t>
  </si>
  <si>
    <t xml:space="preserve">Diferença</t>
  </si>
  <si>
    <t xml:space="preserve">Referência independente (calculada fora do Excel, com pandas, para a base completa e filtros em Todos)</t>
  </si>
  <si>
    <t xml:space="preserve">Esperado (pandas)</t>
  </si>
  <si>
    <t xml:space="preserve">Só se aplica com filtros em Todos e período completo</t>
  </si>
  <si>
    <t xml:space="preserve">Os valores esperados da última tabela são fixos (calculados fora do Excel). Se a base mudar, recalcule-os.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</si>
</sst>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/mm/yyyy"/>
    <numFmt numFmtId="166" formatCode="0"/>
    <numFmt numFmtId="167" formatCode="0%"/>
    <numFmt numFmtId="168" formatCode="0.0"/>
    <numFmt numFmtId="169" formatCode="#,##0"/>
    <numFmt numFmtId="170" formatCode="0.0&quot; min&quot;"/>
    <numFmt numFmtId="171" formatCode="0.0%"/>
    <numFmt numFmtId="172" formatCode="0.00"/>
    <numFmt numFmtId="173" formatCode="dd/mm"/>
    <numFmt numFmtId="174" formatCode="@"/>
    <numFmt numFmtId="175" formatCode="0.000000000"/>
    <numFmt numFmtId="176" formatCode="0.0000"/>
    <numFmt numFmtId="177" formatCode="0.000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4"/>
      <color rgb="FF13294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10"/>
      <color rgb="FF5B65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B657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BFDBF7"/>
      <name val="Arial"/>
      <family val="0"/>
      <charset val="1"/>
    </font>
    <font>
      <b val="true"/>
      <sz val="11"/>
      <color rgb="FF13294B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B6577"/>
      <name val="Arial"/>
      <family val="0"/>
      <charset val="1"/>
    </font>
    <font>
      <b val="true"/>
      <sz val="10"/>
      <color rgb="FF5B6577"/>
      <name val="Arial"/>
      <family val="0"/>
      <charset val="1"/>
    </font>
    <font>
      <b val="true"/>
      <sz val="24"/>
      <color rgb="FF13294B"/>
      <name val="Arial"/>
      <family val="0"/>
      <charset val="1"/>
    </font>
    <font>
      <sz val="9"/>
      <color rgb="FF5B6577"/>
      <name val="Arial"/>
      <family val="0"/>
      <charset val="1"/>
    </font>
    <font>
      <b val="true"/>
      <sz val="12"/>
      <color rgb="FF13294B"/>
      <name val="Arial"/>
      <family val="0"/>
      <charset val="1"/>
    </font>
    <font>
      <sz val="10"/>
      <color rgb="FF1F2A4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3294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Calibri"/>
      <family val="2"/>
    </font>
    <font>
      <b val="true"/>
      <sz val="12"/>
      <color rgb="FF2E7D3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3294B"/>
        <bgColor rgb="FF1F2A44"/>
      </patternFill>
    </fill>
    <fill>
      <patternFill patternType="solid">
        <fgColor rgb="FFFFFF00"/>
        <bgColor rgb="FFFFFF00"/>
      </patternFill>
    </fill>
    <fill>
      <patternFill patternType="solid">
        <fgColor rgb="FFF4F6F9"/>
        <bgColor rgb="FFFFFFFF"/>
      </patternFill>
    </fill>
    <fill>
      <patternFill patternType="solid">
        <fgColor rgb="FFFFFFFF"/>
        <bgColor rgb="FFFFFBE6"/>
      </patternFill>
    </fill>
    <fill>
      <patternFill patternType="solid">
        <fgColor rgb="FFFFFBE6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3D9E2"/>
      </left>
      <right style="thin">
        <color rgb="FFD3D9E2"/>
      </right>
      <top style="thin">
        <color rgb="FFD3D9E2"/>
      </top>
      <bottom style="thin">
        <color rgb="FFD3D9E2"/>
      </bottom>
      <diagonal/>
    </border>
    <border diagonalUp="false" diagonalDown="false">
      <left/>
      <right/>
      <top style="thick">
        <color rgb="FF1F7A8C"/>
      </top>
      <bottom/>
      <diagonal/>
    </border>
    <border diagonalUp="false" diagonalDown="false">
      <left/>
      <right/>
      <top/>
      <bottom style="medium">
        <color rgb="FF1F7A8C"/>
      </bottom>
      <diagonal/>
    </border>
    <border diagonalUp="false" diagonalDown="false">
      <left/>
      <right/>
      <top/>
      <bottom style="thin">
        <color rgb="FFD3D9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9" fontId="2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5" fillId="5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2E7D32"/>
      </font>
      <fill>
        <patternFill>
          <bgColor rgb="FFDFF2E1"/>
        </patternFill>
      </fill>
    </dxf>
    <dxf>
      <font>
        <name val="Arial"/>
        <charset val="1"/>
        <family val="0"/>
        <b val="1"/>
        <color rgb="FFC77700"/>
      </font>
      <fill>
        <patternFill>
          <bgColor rgb="FFFFF0D4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D3D9E2"/>
      <rgbColor rgb="FF878787"/>
      <rgbColor rgb="FF9999FF"/>
      <rgbColor rgb="FF993366"/>
      <rgbColor rgb="FFFFFBE6"/>
      <rgbColor rgb="FFF4F6F9"/>
      <rgbColor rgb="FF660066"/>
      <rgbColor rgb="FFFF8080"/>
      <rgbColor rgb="FF0066CC"/>
      <rgbColor rgb="FFBFDB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FF2E1"/>
      <rgbColor rgb="FFFFF0D4"/>
      <rgbColor rgb="FF99CCFF"/>
      <rgbColor rgb="FFFF99CC"/>
      <rgbColor rgb="FFCC99FF"/>
      <rgbColor rgb="FFFBE0DD"/>
      <rgbColor rgb="FF3366FF"/>
      <rgbColor rgb="FF33CCCC"/>
      <rgbColor rgb="FF99CC00"/>
      <rgbColor rgb="FFFFCC00"/>
      <rgbColor rgb="FFFF9900"/>
      <rgbColor rgb="FFC77700"/>
      <rgbColor rgb="FF5B6577"/>
      <rgbColor rgb="FF969696"/>
      <rgbColor rgb="FF13294B"/>
      <rgbColor rgb="FF2E7D32"/>
      <rgbColor rgb="FF003300"/>
      <rgbColor rgb="FF333300"/>
      <rgbColor rgb="FFC039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"Atendimentos na semana"</c:f>
              <c:strCache>
                <c:ptCount val="1"/>
                <c:pt idx="0">
                  <c:v>Atendimentos na semana</c:v>
                </c:pt>
              </c:strCache>
            </c:strRef>
          </c:tx>
          <c:spPr>
            <a:solidFill>
              <a:srgbClr val="1f7a8c"/>
            </a:solidFill>
            <a:ln w="0">
              <a:solidFill>
                <a:srgbClr val="1f7a8c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03_Dashboard!$V$54:$V$62</c:f>
              <c:strCache>
                <c:ptCount val="9"/>
                <c:pt idx="0">
                  <c:v>31/08</c:v>
                </c:pt>
                <c:pt idx="1">
                  <c:v>07/09</c:v>
                </c:pt>
                <c:pt idx="2">
                  <c:v>14/09</c:v>
                </c:pt>
                <c:pt idx="3">
                  <c:v>21/09</c:v>
                </c:pt>
                <c:pt idx="4">
                  <c:v>28/09</c:v>
                </c:pt>
                <c:pt idx="5">
                  <c:v>05/10</c:v>
                </c:pt>
                <c:pt idx="6">
                  <c:v>12/10</c:v>
                </c:pt>
                <c:pt idx="7">
                  <c:v>19/10</c:v>
                </c:pt>
                <c:pt idx="8">
                  <c:v>26/10</c:v>
                </c:pt>
              </c:strCache>
            </c:strRef>
          </c:cat>
          <c:val>
            <c:numRef>
              <c:f>03_Dashboard!$W$54:$W$62</c:f>
              <c:numCache>
                <c:formatCode>#,##0</c:formatCode>
                <c:ptCount val="9"/>
                <c:pt idx="0">
                  <c:v>108</c:v>
                </c:pt>
                <c:pt idx="1">
                  <c:v>134</c:v>
                </c:pt>
                <c:pt idx="2">
                  <c:v>132</c:v>
                </c:pt>
                <c:pt idx="3">
                  <c:v>150</c:v>
                </c:pt>
                <c:pt idx="4">
                  <c:v>139</c:v>
                </c:pt>
                <c:pt idx="5">
                  <c:v>122</c:v>
                </c:pt>
                <c:pt idx="6">
                  <c:v>166</c:v>
                </c:pt>
                <c:pt idx="7">
                  <c:v>131</c:v>
                </c:pt>
                <c:pt idx="8">
                  <c:v>118</c:v>
                </c:pt>
              </c:numCache>
            </c:numRef>
          </c:val>
        </c:ser>
        <c:gapWidth val="150"/>
        <c:overlap val="0"/>
        <c:axId val="52639403"/>
        <c:axId val="36807868"/>
      </c:barChart>
      <c:lineChart>
        <c:grouping val="standard"/>
        <c:varyColors val="0"/>
        <c:ser>
          <c:idx val="1"/>
          <c:order val="1"/>
          <c:tx>
            <c:strRef>
              <c:f>"Capacidade semanal"</c:f>
              <c:strCache>
                <c:ptCount val="1"/>
                <c:pt idx="0">
                  <c:v>Capacidade semanal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03_Dashboard!$V$54:$V$62</c:f>
              <c:strCache>
                <c:ptCount val="9"/>
                <c:pt idx="0">
                  <c:v>31/08</c:v>
                </c:pt>
                <c:pt idx="1">
                  <c:v>07/09</c:v>
                </c:pt>
                <c:pt idx="2">
                  <c:v>14/09</c:v>
                </c:pt>
                <c:pt idx="3">
                  <c:v>21/09</c:v>
                </c:pt>
                <c:pt idx="4">
                  <c:v>28/09</c:v>
                </c:pt>
                <c:pt idx="5">
                  <c:v>05/10</c:v>
                </c:pt>
                <c:pt idx="6">
                  <c:v>12/10</c:v>
                </c:pt>
                <c:pt idx="7">
                  <c:v>19/10</c:v>
                </c:pt>
                <c:pt idx="8">
                  <c:v>26/10</c:v>
                </c:pt>
              </c:strCache>
            </c:strRef>
          </c:cat>
          <c:val>
            <c:numRef>
              <c:f>03_Dashboard!$X$54:$X$62</c:f>
              <c:numCache>
                <c:formatCode>0</c:formatCode>
                <c:ptCount val="9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639403"/>
        <c:axId val="36807868"/>
      </c:lineChart>
      <c:catAx>
        <c:axId val="52639403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07868"/>
        <c:crosses val="autoZero"/>
        <c:auto val="1"/>
        <c:lblAlgn val="ctr"/>
        <c:lblOffset val="100"/>
        <c:noMultiLvlLbl val="0"/>
      </c:catAx>
      <c:valAx>
        <c:axId val="36807868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394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"SLA %"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rgbClr val="1f7a8c"/>
            </a:solidFill>
            <a:ln w="0">
              <a:solidFill>
                <a:srgbClr val="1f7a8c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03_Dashboard!$V$32:$V$35</c:f>
              <c:strCache>
                <c:ptCount val="4"/>
                <c:pt idx="0">
                  <c:v>WhatsApp</c:v>
                </c:pt>
                <c:pt idx="1">
                  <c:v>Chat</c:v>
                </c:pt>
                <c:pt idx="2">
                  <c:v>E-mail</c:v>
                </c:pt>
                <c:pt idx="3">
                  <c:v>Telefone</c:v>
                </c:pt>
              </c:strCache>
            </c:strRef>
          </c:cat>
          <c:val>
            <c:numRef>
              <c:f>03_Dashboard!$Y$32:$Y$35</c:f>
              <c:numCache>
                <c:formatCode>0.0%</c:formatCode>
                <c:ptCount val="4"/>
                <c:pt idx="0">
                  <c:v>0.897196261682243</c:v>
                </c:pt>
                <c:pt idx="1">
                  <c:v>0.927480916030534</c:v>
                </c:pt>
                <c:pt idx="2">
                  <c:v>0.821548821548822</c:v>
                </c:pt>
                <c:pt idx="3">
                  <c:v>0.875706214689266</c:v>
                </c:pt>
              </c:numCache>
            </c:numRef>
          </c:val>
        </c:ser>
        <c:gapWidth val="150"/>
        <c:overlap val="0"/>
        <c:axId val="95977355"/>
        <c:axId val="990355"/>
      </c:barChart>
      <c:lineChart>
        <c:grouping val="standard"/>
        <c:varyColors val="0"/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03_Dashboard!$V$32:$V$35</c:f>
              <c:strCache>
                <c:ptCount val="4"/>
                <c:pt idx="0">
                  <c:v>WhatsApp</c:v>
                </c:pt>
                <c:pt idx="1">
                  <c:v>Chat</c:v>
                </c:pt>
                <c:pt idx="2">
                  <c:v>E-mail</c:v>
                </c:pt>
                <c:pt idx="3">
                  <c:v>Telefone</c:v>
                </c:pt>
              </c:strCache>
            </c:strRef>
          </c:cat>
          <c:val>
            <c:numRef>
              <c:f>03_Dashboard!$Z$32:$Z$35</c:f>
              <c:numCache>
                <c:formatCode>0%</c:formatCode>
                <c:ptCount val="4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977355"/>
        <c:axId val="990355"/>
      </c:lineChart>
      <c:catAx>
        <c:axId val="959773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355"/>
        <c:crosses val="autoZero"/>
        <c:auto val="1"/>
        <c:lblAlgn val="ctr"/>
        <c:lblOffset val="100"/>
        <c:noMultiLvlLbl val="0"/>
      </c:catAx>
      <c:valAx>
        <c:axId val="990355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773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"CSAT %"</c:f>
              <c:strCache>
                <c:ptCount val="1"/>
                <c:pt idx="0">
                  <c:v>CSAT %</c:v>
                </c:pt>
              </c:strCache>
            </c:strRef>
          </c:tx>
          <c:spPr>
            <a:solidFill>
              <a:srgbClr val="1f7a8c"/>
            </a:solidFill>
            <a:ln w="0">
              <a:solidFill>
                <a:srgbClr val="1f7a8c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03_Dashboard!$V$39:$V$44</c:f>
              <c:strCache>
                <c:ptCount val="6"/>
                <c:pt idx="0">
                  <c:v>Atraso na entrega</c:v>
                </c:pt>
                <c:pt idx="1">
                  <c:v>Cobrança ou pagamento</c:v>
                </c:pt>
                <c:pt idx="2">
                  <c:v>Produto incorreto ou avariado</c:v>
                </c:pt>
                <c:pt idx="3">
                  <c:v>Dúvida sobre o pedido</c:v>
                </c:pt>
                <c:pt idx="4">
                  <c:v>Cancelamento</c:v>
                </c:pt>
                <c:pt idx="5">
                  <c:v>Cadastro ou acesso</c:v>
                </c:pt>
              </c:strCache>
            </c:strRef>
          </c:cat>
          <c:val>
            <c:numRef>
              <c:f>03_Dashboard!$Y$39:$Y$44</c:f>
              <c:numCache>
                <c:formatCode>0.0%</c:formatCode>
                <c:ptCount val="6"/>
                <c:pt idx="0">
                  <c:v>0.724137931034483</c:v>
                </c:pt>
                <c:pt idx="1">
                  <c:v>0.743243243243243</c:v>
                </c:pt>
                <c:pt idx="2">
                  <c:v>0.823529411764706</c:v>
                </c:pt>
                <c:pt idx="3">
                  <c:v>0.905882352941177</c:v>
                </c:pt>
                <c:pt idx="4">
                  <c:v>0.862745098039216</c:v>
                </c:pt>
                <c:pt idx="5">
                  <c:v>0.888888888888889</c:v>
                </c:pt>
              </c:numCache>
            </c:numRef>
          </c:val>
        </c:ser>
        <c:gapWidth val="150"/>
        <c:overlap val="0"/>
        <c:axId val="4764693"/>
        <c:axId val="20575943"/>
      </c:barChart>
      <c:catAx>
        <c:axId val="476469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75943"/>
        <c:crosses val="autoZero"/>
        <c:auto val="1"/>
        <c:lblAlgn val="ctr"/>
        <c:lblOffset val="100"/>
        <c:noMultiLvlLbl val="0"/>
      </c:catAx>
      <c:valAx>
        <c:axId val="20575943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46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"Produtividade"</c:f>
              <c:strCache>
                <c:ptCount val="1"/>
                <c:pt idx="0">
                  <c:v>Produtividade</c:v>
                </c:pt>
              </c:strCache>
            </c:strRef>
          </c:tx>
          <c:spPr>
            <a:solidFill>
              <a:srgbClr val="1f7a8c"/>
            </a:solidFill>
            <a:ln w="0">
              <a:solidFill>
                <a:srgbClr val="1f7a8c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03_Dashboard!$V$48:$V$50</c:f>
              <c:strCache>
                <c:ptCount val="3"/>
                <c:pt idx="0">
                  <c:v>Equipe A</c:v>
                </c:pt>
                <c:pt idx="1">
                  <c:v>Equipe B</c:v>
                </c:pt>
                <c:pt idx="2">
                  <c:v>Equipe C</c:v>
                </c:pt>
              </c:strCache>
            </c:strRef>
          </c:cat>
          <c:val>
            <c:numRef>
              <c:f>03_Dashboard!$Y$48:$Y$50</c:f>
              <c:numCache>
                <c:formatCode>0.00</c:formatCode>
                <c:ptCount val="3"/>
                <c:pt idx="0">
                  <c:v>3.11363636363636</c:v>
                </c:pt>
                <c:pt idx="1">
                  <c:v>3.09848484848485</c:v>
                </c:pt>
                <c:pt idx="2">
                  <c:v>3.88636363636364</c:v>
                </c:pt>
              </c:numCache>
            </c:numRef>
          </c:val>
        </c:ser>
        <c:gapWidth val="150"/>
        <c:overlap val="0"/>
        <c:axId val="70702810"/>
        <c:axId val="63109373"/>
      </c:barChart>
      <c:lineChart>
        <c:grouping val="standard"/>
        <c:varyColors val="0"/>
        <c:ser>
          <c:idx val="1"/>
          <c:order val="1"/>
          <c:tx>
            <c:strRef>
              <c:f>"Meta"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03_Dashboard!$V$48:$V$50</c:f>
              <c:strCache>
                <c:ptCount val="3"/>
                <c:pt idx="0">
                  <c:v>Equipe A</c:v>
                </c:pt>
                <c:pt idx="1">
                  <c:v>Equipe B</c:v>
                </c:pt>
                <c:pt idx="2">
                  <c:v>Equipe C</c:v>
                </c:pt>
              </c:strCache>
            </c:strRef>
          </c:cat>
          <c:val>
            <c:numRef>
              <c:f>03_Dashboard!$Z$48:$Z$50</c:f>
              <c:numCache>
                <c:formatCode>0.0</c:formatCode>
                <c:ptCount val="3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702810"/>
        <c:axId val="63109373"/>
      </c:lineChart>
      <c:catAx>
        <c:axId val="70702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09373"/>
        <c:crosses val="autoZero"/>
        <c:auto val="1"/>
        <c:lblAlgn val="ctr"/>
        <c:lblOffset val="100"/>
        <c:noMultiLvlLbl val="0"/>
      </c:catAx>
      <c:valAx>
        <c:axId val="63109373"/>
        <c:scaling>
          <c:orientation val="minMax"/>
          <c:min val="0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028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9</xdr:col>
      <xdr:colOff>508320</xdr:colOff>
      <xdr:row>29</xdr:row>
      <xdr:rowOff>187200</xdr:rowOff>
    </xdr:to>
    <xdr:graphicFrame>
      <xdr:nvGraphicFramePr>
        <xdr:cNvPr id="0" name="Chart 1"/>
        <xdr:cNvGraphicFramePr/>
      </xdr:nvGraphicFramePr>
      <xdr:xfrm>
        <a:off x="141120" y="4238640"/>
        <a:ext cx="586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16</xdr:row>
      <xdr:rowOff>0</xdr:rowOff>
    </xdr:from>
    <xdr:to>
      <xdr:col>18</xdr:col>
      <xdr:colOff>508320</xdr:colOff>
      <xdr:row>29</xdr:row>
      <xdr:rowOff>187200</xdr:rowOff>
    </xdr:to>
    <xdr:graphicFrame>
      <xdr:nvGraphicFramePr>
        <xdr:cNvPr id="1" name="Chart 2"/>
        <xdr:cNvGraphicFramePr/>
      </xdr:nvGraphicFramePr>
      <xdr:xfrm>
        <a:off x="6170400" y="4238640"/>
        <a:ext cx="586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9</xdr:col>
      <xdr:colOff>508320</xdr:colOff>
      <xdr:row>47</xdr:row>
      <xdr:rowOff>187200</xdr:rowOff>
    </xdr:to>
    <xdr:graphicFrame>
      <xdr:nvGraphicFramePr>
        <xdr:cNvPr id="2" name="Chart 3"/>
        <xdr:cNvGraphicFramePr/>
      </xdr:nvGraphicFramePr>
      <xdr:xfrm>
        <a:off x="141120" y="8201160"/>
        <a:ext cx="586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34</xdr:row>
      <xdr:rowOff>0</xdr:rowOff>
    </xdr:from>
    <xdr:to>
      <xdr:col>18</xdr:col>
      <xdr:colOff>508320</xdr:colOff>
      <xdr:row>47</xdr:row>
      <xdr:rowOff>187200</xdr:rowOff>
    </xdr:to>
    <xdr:graphicFrame>
      <xdr:nvGraphicFramePr>
        <xdr:cNvPr id="3" name="Chart 4"/>
        <xdr:cNvGraphicFramePr/>
      </xdr:nvGraphicFramePr>
      <xdr:xfrm>
        <a:off x="6170400" y="8201160"/>
        <a:ext cx="586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Atendimentos" displayName="tbAtendimentos" ref="A1:N1201" headerRowCount="1" totalsRowCount="0" totalsRowShown="0">
  <autoFilter ref="A1:N1201"/>
  <tableColumns count="14">
    <tableColumn id="1" name="ID_Atendimento"/>
    <tableColumn id="2" name="Data_Abertura"/>
    <tableColumn id="3" name="Canal"/>
    <tableColumn id="4" name="Equipe"/>
    <tableColumn id="5" name="Atendente"/>
    <tableColumn id="6" name="Motivo"/>
    <tableColumn id="7" name="Status"/>
    <tableColumn id="8" name="Tempo_1a_Resposta_min"/>
    <tableColumn id="9" name="Tempo_Atendimento_min"/>
    <tableColumn id="10" name="Resolvido_1o_Contato"/>
    <tableColumn id="11" name="Nota_CSAT"/>
    <tableColumn id="12" name="Semana"/>
    <tableColumn id="13" name="Prazo_SLA_min"/>
    <tableColumn id="14" name="Dentro_SL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10" min="8" style="0" width="2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46266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n">
        <v>0.7</v>
      </c>
      <c r="I2" s="2" t="n">
        <v>12.7</v>
      </c>
      <c r="J2" s="2" t="s">
        <v>20</v>
      </c>
      <c r="K2" s="2"/>
      <c r="L2" s="3" t="n">
        <f aca="false">B2-WEEKDAY(B2,2)+1</f>
        <v>46265</v>
      </c>
      <c r="M2" s="4" t="n">
        <f aca="false">IFERROR(INDEX(02_Parâmetros!$B$14:$B$17,MATCH(C2,02_Parâmetros!$A$14:$A$17,0)),"")</f>
        <v>1</v>
      </c>
      <c r="N2" s="2" t="str">
        <f aca="false">IF(OR(H2="",M2=""),"",IF(H2&lt;=M2,"Sim","Não"))</f>
        <v>Sim</v>
      </c>
    </row>
    <row r="3" customFormat="false" ht="15" hidden="false" customHeight="false" outlineLevel="0" collapsed="false">
      <c r="A3" s="2" t="s">
        <v>21</v>
      </c>
      <c r="B3" s="3" t="n">
        <v>46266</v>
      </c>
      <c r="C3" s="2" t="s">
        <v>15</v>
      </c>
      <c r="D3" s="2" t="s">
        <v>22</v>
      </c>
      <c r="E3" s="2" t="s">
        <v>23</v>
      </c>
      <c r="F3" s="2" t="s">
        <v>24</v>
      </c>
      <c r="G3" s="2" t="s">
        <v>19</v>
      </c>
      <c r="H3" s="2" t="n">
        <v>0.9</v>
      </c>
      <c r="I3" s="2" t="n">
        <v>22.3</v>
      </c>
      <c r="J3" s="2" t="s">
        <v>25</v>
      </c>
      <c r="K3" s="2"/>
      <c r="L3" s="3" t="n">
        <f aca="false">B3-WEEKDAY(B3,2)+1</f>
        <v>46265</v>
      </c>
      <c r="M3" s="4" t="n">
        <f aca="false">IFERROR(INDEX(02_Parâmetros!$B$14:$B$17,MATCH(C3,02_Parâmetros!$A$14:$A$17,0)),"")</f>
        <v>1</v>
      </c>
      <c r="N3" s="2" t="str">
        <f aca="false">IF(OR(H3="",M3=""),"",IF(H3&lt;=M3,"Sim","Não"))</f>
        <v>Sim</v>
      </c>
    </row>
    <row r="4" customFormat="false" ht="15" hidden="false" customHeight="false" outlineLevel="0" collapsed="false">
      <c r="A4" s="2" t="s">
        <v>26</v>
      </c>
      <c r="B4" s="3" t="n">
        <v>46266</v>
      </c>
      <c r="C4" s="2" t="s">
        <v>27</v>
      </c>
      <c r="D4" s="2" t="s">
        <v>22</v>
      </c>
      <c r="E4" s="2" t="s">
        <v>28</v>
      </c>
      <c r="F4" s="2" t="s">
        <v>18</v>
      </c>
      <c r="G4" s="2" t="s">
        <v>19</v>
      </c>
      <c r="H4" s="2" t="n">
        <v>20.7</v>
      </c>
      <c r="I4" s="2" t="n">
        <v>7.7</v>
      </c>
      <c r="J4" s="2" t="s">
        <v>20</v>
      </c>
      <c r="K4" s="2" t="n">
        <v>3</v>
      </c>
      <c r="L4" s="3" t="n">
        <f aca="false">B4-WEEKDAY(B4,2)+1</f>
        <v>46265</v>
      </c>
      <c r="M4" s="4" t="n">
        <f aca="false">IFERROR(INDEX(02_Parâmetros!$B$14:$B$17,MATCH(C4,02_Parâmetros!$A$14:$A$17,0)),"")</f>
        <v>10</v>
      </c>
      <c r="N4" s="2" t="str">
        <f aca="false">IF(OR(H4="",M4=""),"",IF(H4&lt;=M4,"Sim","Não"))</f>
        <v>Não</v>
      </c>
    </row>
    <row r="5" customFormat="false" ht="15" hidden="false" customHeight="false" outlineLevel="0" collapsed="false">
      <c r="A5" s="2" t="s">
        <v>29</v>
      </c>
      <c r="B5" s="3" t="n">
        <v>46266</v>
      </c>
      <c r="C5" s="2" t="s">
        <v>15</v>
      </c>
      <c r="D5" s="2" t="s">
        <v>22</v>
      </c>
      <c r="E5" s="2" t="s">
        <v>23</v>
      </c>
      <c r="F5" s="2" t="s">
        <v>18</v>
      </c>
      <c r="G5" s="2" t="s">
        <v>19</v>
      </c>
      <c r="H5" s="2" t="n">
        <v>1</v>
      </c>
      <c r="I5" s="2" t="n">
        <v>12.1</v>
      </c>
      <c r="J5" s="2" t="s">
        <v>25</v>
      </c>
      <c r="K5" s="2"/>
      <c r="L5" s="3" t="n">
        <f aca="false">B5-WEEKDAY(B5,2)+1</f>
        <v>46265</v>
      </c>
      <c r="M5" s="4" t="n">
        <f aca="false">IFERROR(INDEX(02_Parâmetros!$B$14:$B$17,MATCH(C5,02_Parâmetros!$A$14:$A$17,0)),"")</f>
        <v>1</v>
      </c>
      <c r="N5" s="2" t="str">
        <f aca="false">IF(OR(H5="",M5=""),"",IF(H5&lt;=M5,"Sim","Não"))</f>
        <v>Sim</v>
      </c>
    </row>
    <row r="6" customFormat="false" ht="15" hidden="false" customHeight="false" outlineLevel="0" collapsed="false">
      <c r="A6" s="2" t="s">
        <v>30</v>
      </c>
      <c r="B6" s="3" t="n">
        <v>46266</v>
      </c>
      <c r="C6" s="2" t="s">
        <v>27</v>
      </c>
      <c r="D6" s="2" t="s">
        <v>16</v>
      </c>
      <c r="E6" s="2" t="s">
        <v>31</v>
      </c>
      <c r="F6" s="2" t="s">
        <v>32</v>
      </c>
      <c r="G6" s="2" t="s">
        <v>19</v>
      </c>
      <c r="H6" s="2" t="n">
        <v>5.7</v>
      </c>
      <c r="I6" s="2" t="n">
        <v>6.5</v>
      </c>
      <c r="J6" s="2" t="s">
        <v>20</v>
      </c>
      <c r="K6" s="2"/>
      <c r="L6" s="3" t="n">
        <f aca="false">B6-WEEKDAY(B6,2)+1</f>
        <v>46265</v>
      </c>
      <c r="M6" s="4" t="n">
        <f aca="false">IFERROR(INDEX(02_Parâmetros!$B$14:$B$17,MATCH(C6,02_Parâmetros!$A$14:$A$17,0)),"")</f>
        <v>10</v>
      </c>
      <c r="N6" s="2" t="str">
        <f aca="false">IF(OR(H6="",M6=""),"",IF(H6&lt;=M6,"Sim","Não"))</f>
        <v>Sim</v>
      </c>
    </row>
    <row r="7" customFormat="false" ht="15" hidden="false" customHeight="false" outlineLevel="0" collapsed="false">
      <c r="A7" s="2" t="s">
        <v>33</v>
      </c>
      <c r="B7" s="3" t="n">
        <v>46266</v>
      </c>
      <c r="C7" s="2" t="s">
        <v>27</v>
      </c>
      <c r="D7" s="2" t="s">
        <v>22</v>
      </c>
      <c r="E7" s="2" t="s">
        <v>28</v>
      </c>
      <c r="F7" s="2" t="s">
        <v>34</v>
      </c>
      <c r="G7" s="2" t="s">
        <v>19</v>
      </c>
      <c r="H7" s="2" t="n">
        <v>7.9</v>
      </c>
      <c r="I7" s="2" t="n">
        <v>5</v>
      </c>
      <c r="J7" s="2" t="s">
        <v>20</v>
      </c>
      <c r="K7" s="2"/>
      <c r="L7" s="3" t="n">
        <f aca="false">B7-WEEKDAY(B7,2)+1</f>
        <v>46265</v>
      </c>
      <c r="M7" s="4" t="n">
        <f aca="false">IFERROR(INDEX(02_Parâmetros!$B$14:$B$17,MATCH(C7,02_Parâmetros!$A$14:$A$17,0)),"")</f>
        <v>10</v>
      </c>
      <c r="N7" s="2" t="str">
        <f aca="false">IF(OR(H7="",M7=""),"",IF(H7&lt;=M7,"Sim","Não"))</f>
        <v>Sim</v>
      </c>
    </row>
    <row r="8" customFormat="false" ht="15" hidden="false" customHeight="false" outlineLevel="0" collapsed="false">
      <c r="A8" s="2" t="s">
        <v>35</v>
      </c>
      <c r="B8" s="3" t="n">
        <v>46266</v>
      </c>
      <c r="C8" s="2" t="s">
        <v>27</v>
      </c>
      <c r="D8" s="2" t="s">
        <v>16</v>
      </c>
      <c r="E8" s="2" t="s">
        <v>36</v>
      </c>
      <c r="F8" s="2" t="s">
        <v>24</v>
      </c>
      <c r="G8" s="2" t="s">
        <v>19</v>
      </c>
      <c r="H8" s="2" t="n">
        <v>7.9</v>
      </c>
      <c r="I8" s="2" t="n">
        <v>8.2</v>
      </c>
      <c r="J8" s="2" t="s">
        <v>20</v>
      </c>
      <c r="K8" s="2"/>
      <c r="L8" s="3" t="n">
        <f aca="false">B8-WEEKDAY(B8,2)+1</f>
        <v>46265</v>
      </c>
      <c r="M8" s="4" t="n">
        <f aca="false">IFERROR(INDEX(02_Parâmetros!$B$14:$B$17,MATCH(C8,02_Parâmetros!$A$14:$A$17,0)),"")</f>
        <v>10</v>
      </c>
      <c r="N8" s="2" t="str">
        <f aca="false">IF(OR(H8="",M8=""),"",IF(H8&lt;=M8,"Sim","Não"))</f>
        <v>Sim</v>
      </c>
    </row>
    <row r="9" customFormat="false" ht="15" hidden="false" customHeight="false" outlineLevel="0" collapsed="false">
      <c r="A9" s="2" t="s">
        <v>37</v>
      </c>
      <c r="B9" s="3" t="n">
        <v>46266</v>
      </c>
      <c r="C9" s="2" t="s">
        <v>27</v>
      </c>
      <c r="D9" s="2" t="s">
        <v>38</v>
      </c>
      <c r="E9" s="2" t="s">
        <v>39</v>
      </c>
      <c r="F9" s="2" t="s">
        <v>24</v>
      </c>
      <c r="G9" s="2" t="s">
        <v>19</v>
      </c>
      <c r="H9" s="2" t="n">
        <v>5.6</v>
      </c>
      <c r="I9" s="2" t="n">
        <v>8.2</v>
      </c>
      <c r="J9" s="2" t="s">
        <v>20</v>
      </c>
      <c r="K9" s="2" t="n">
        <v>1</v>
      </c>
      <c r="L9" s="3" t="n">
        <f aca="false">B9-WEEKDAY(B9,2)+1</f>
        <v>46265</v>
      </c>
      <c r="M9" s="4" t="n">
        <f aca="false">IFERROR(INDEX(02_Parâmetros!$B$14:$B$17,MATCH(C9,02_Parâmetros!$A$14:$A$17,0)),"")</f>
        <v>10</v>
      </c>
      <c r="N9" s="2" t="str">
        <f aca="false">IF(OR(H9="",M9=""),"",IF(H9&lt;=M9,"Sim","Não"))</f>
        <v>Sim</v>
      </c>
    </row>
    <row r="10" customFormat="false" ht="15" hidden="false" customHeight="false" outlineLevel="0" collapsed="false">
      <c r="A10" s="2" t="s">
        <v>40</v>
      </c>
      <c r="B10" s="3" t="n">
        <v>46266</v>
      </c>
      <c r="C10" s="2" t="s">
        <v>41</v>
      </c>
      <c r="D10" s="2" t="s">
        <v>16</v>
      </c>
      <c r="E10" s="2" t="s">
        <v>36</v>
      </c>
      <c r="F10" s="2" t="s">
        <v>42</v>
      </c>
      <c r="G10" s="2" t="s">
        <v>19</v>
      </c>
      <c r="H10" s="2" t="n">
        <v>77.4</v>
      </c>
      <c r="I10" s="2" t="n">
        <v>12.2</v>
      </c>
      <c r="J10" s="2" t="s">
        <v>20</v>
      </c>
      <c r="K10" s="2"/>
      <c r="L10" s="3" t="n">
        <f aca="false">B10-WEEKDAY(B10,2)+1</f>
        <v>46265</v>
      </c>
      <c r="M10" s="4" t="n">
        <f aca="false">IFERROR(INDEX(02_Parâmetros!$B$14:$B$17,MATCH(C10,02_Parâmetros!$A$14:$A$17,0)),"")</f>
        <v>240</v>
      </c>
      <c r="N10" s="2" t="str">
        <f aca="false">IF(OR(H10="",M10=""),"",IF(H10&lt;=M10,"Sim","Não"))</f>
        <v>Sim</v>
      </c>
    </row>
    <row r="11" customFormat="false" ht="15" hidden="false" customHeight="false" outlineLevel="0" collapsed="false">
      <c r="A11" s="2" t="s">
        <v>43</v>
      </c>
      <c r="B11" s="3" t="n">
        <v>46266</v>
      </c>
      <c r="C11" s="2" t="s">
        <v>44</v>
      </c>
      <c r="D11" s="2" t="s">
        <v>16</v>
      </c>
      <c r="E11" s="2" t="s">
        <v>31</v>
      </c>
      <c r="F11" s="2" t="s">
        <v>24</v>
      </c>
      <c r="G11" s="2" t="s">
        <v>19</v>
      </c>
      <c r="H11" s="2" t="n">
        <v>1.4</v>
      </c>
      <c r="I11" s="2" t="n">
        <v>7.2</v>
      </c>
      <c r="J11" s="2" t="s">
        <v>20</v>
      </c>
      <c r="K11" s="2"/>
      <c r="L11" s="3" t="n">
        <f aca="false">B11-WEEKDAY(B11,2)+1</f>
        <v>46265</v>
      </c>
      <c r="M11" s="4" t="n">
        <f aca="false">IFERROR(INDEX(02_Parâmetros!$B$14:$B$17,MATCH(C11,02_Parâmetros!$A$14:$A$17,0)),"")</f>
        <v>2</v>
      </c>
      <c r="N11" s="2" t="str">
        <f aca="false">IF(OR(H11="",M11=""),"",IF(H11&lt;=M11,"Sim","Não"))</f>
        <v>Sim</v>
      </c>
    </row>
    <row r="12" customFormat="false" ht="15" hidden="false" customHeight="false" outlineLevel="0" collapsed="false">
      <c r="A12" s="2" t="s">
        <v>45</v>
      </c>
      <c r="B12" s="3" t="n">
        <v>46266</v>
      </c>
      <c r="C12" s="2" t="s">
        <v>44</v>
      </c>
      <c r="D12" s="2" t="s">
        <v>22</v>
      </c>
      <c r="E12" s="2" t="s">
        <v>23</v>
      </c>
      <c r="F12" s="2" t="s">
        <v>24</v>
      </c>
      <c r="G12" s="2" t="s">
        <v>19</v>
      </c>
      <c r="H12" s="2" t="n">
        <v>0.8</v>
      </c>
      <c r="I12" s="2" t="n">
        <v>13.1</v>
      </c>
      <c r="J12" s="2" t="s">
        <v>20</v>
      </c>
      <c r="K12" s="2"/>
      <c r="L12" s="3" t="n">
        <f aca="false">B12-WEEKDAY(B12,2)+1</f>
        <v>46265</v>
      </c>
      <c r="M12" s="4" t="n">
        <f aca="false">IFERROR(INDEX(02_Parâmetros!$B$14:$B$17,MATCH(C12,02_Parâmetros!$A$14:$A$17,0)),"")</f>
        <v>2</v>
      </c>
      <c r="N12" s="2" t="str">
        <f aca="false">IF(OR(H12="",M12=""),"",IF(H12&lt;=M12,"Sim","Não"))</f>
        <v>Sim</v>
      </c>
    </row>
    <row r="13" customFormat="false" ht="15" hidden="false" customHeight="false" outlineLevel="0" collapsed="false">
      <c r="A13" s="2" t="s">
        <v>46</v>
      </c>
      <c r="B13" s="3" t="n">
        <v>46266</v>
      </c>
      <c r="C13" s="2" t="s">
        <v>15</v>
      </c>
      <c r="D13" s="2" t="s">
        <v>38</v>
      </c>
      <c r="E13" s="2" t="s">
        <v>47</v>
      </c>
      <c r="F13" s="2" t="s">
        <v>32</v>
      </c>
      <c r="G13" s="2" t="s">
        <v>19</v>
      </c>
      <c r="H13" s="2" t="n">
        <v>0.4</v>
      </c>
      <c r="I13" s="2" t="n">
        <v>10.8</v>
      </c>
      <c r="J13" s="2" t="s">
        <v>20</v>
      </c>
      <c r="K13" s="2" t="n">
        <v>4</v>
      </c>
      <c r="L13" s="3" t="n">
        <f aca="false">B13-WEEKDAY(B13,2)+1</f>
        <v>46265</v>
      </c>
      <c r="M13" s="4" t="n">
        <f aca="false">IFERROR(INDEX(02_Parâmetros!$B$14:$B$17,MATCH(C13,02_Parâmetros!$A$14:$A$17,0)),"")</f>
        <v>1</v>
      </c>
      <c r="N13" s="2" t="str">
        <f aca="false">IF(OR(H13="",M13=""),"",IF(H13&lt;=M13,"Sim","Não"))</f>
        <v>Sim</v>
      </c>
    </row>
    <row r="14" customFormat="false" ht="15" hidden="false" customHeight="false" outlineLevel="0" collapsed="false">
      <c r="A14" s="2" t="s">
        <v>48</v>
      </c>
      <c r="B14" s="3" t="n">
        <v>46266</v>
      </c>
      <c r="C14" s="2" t="s">
        <v>27</v>
      </c>
      <c r="D14" s="2" t="s">
        <v>16</v>
      </c>
      <c r="E14" s="2" t="s">
        <v>31</v>
      </c>
      <c r="F14" s="2" t="s">
        <v>34</v>
      </c>
      <c r="G14" s="2" t="s">
        <v>19</v>
      </c>
      <c r="H14" s="2" t="n">
        <v>9</v>
      </c>
      <c r="I14" s="2" t="n">
        <v>6.8</v>
      </c>
      <c r="J14" s="2" t="s">
        <v>20</v>
      </c>
      <c r="K14" s="2" t="n">
        <v>4</v>
      </c>
      <c r="L14" s="3" t="n">
        <f aca="false">B14-WEEKDAY(B14,2)+1</f>
        <v>46265</v>
      </c>
      <c r="M14" s="4" t="n">
        <f aca="false">IFERROR(INDEX(02_Parâmetros!$B$14:$B$17,MATCH(C14,02_Parâmetros!$A$14:$A$17,0)),"")</f>
        <v>10</v>
      </c>
      <c r="N14" s="2" t="str">
        <f aca="false">IF(OR(H14="",M14=""),"",IF(H14&lt;=M14,"Sim","Não"))</f>
        <v>Sim</v>
      </c>
    </row>
    <row r="15" customFormat="false" ht="15" hidden="false" customHeight="false" outlineLevel="0" collapsed="false">
      <c r="A15" s="2" t="s">
        <v>49</v>
      </c>
      <c r="B15" s="3" t="n">
        <v>46266</v>
      </c>
      <c r="C15" s="2" t="s">
        <v>27</v>
      </c>
      <c r="D15" s="2" t="s">
        <v>38</v>
      </c>
      <c r="E15" s="2" t="s">
        <v>47</v>
      </c>
      <c r="F15" s="2" t="s">
        <v>24</v>
      </c>
      <c r="G15" s="2" t="s">
        <v>19</v>
      </c>
      <c r="H15" s="2" t="n">
        <v>2.6</v>
      </c>
      <c r="I15" s="2" t="n">
        <v>9.7</v>
      </c>
      <c r="J15" s="2" t="s">
        <v>20</v>
      </c>
      <c r="K15" s="2" t="n">
        <v>5</v>
      </c>
      <c r="L15" s="3" t="n">
        <f aca="false">B15-WEEKDAY(B15,2)+1</f>
        <v>46265</v>
      </c>
      <c r="M15" s="4" t="n">
        <f aca="false">IFERROR(INDEX(02_Parâmetros!$B$14:$B$17,MATCH(C15,02_Parâmetros!$A$14:$A$17,0)),"")</f>
        <v>10</v>
      </c>
      <c r="N15" s="2" t="str">
        <f aca="false">IF(OR(H15="",M15=""),"",IF(H15&lt;=M15,"Sim","Não"))</f>
        <v>Sim</v>
      </c>
    </row>
    <row r="16" customFormat="false" ht="15" hidden="false" customHeight="false" outlineLevel="0" collapsed="false">
      <c r="A16" s="2" t="s">
        <v>50</v>
      </c>
      <c r="B16" s="3" t="n">
        <v>46266</v>
      </c>
      <c r="C16" s="2" t="s">
        <v>41</v>
      </c>
      <c r="D16" s="2" t="s">
        <v>22</v>
      </c>
      <c r="E16" s="2" t="s">
        <v>28</v>
      </c>
      <c r="F16" s="2" t="s">
        <v>32</v>
      </c>
      <c r="G16" s="2" t="s">
        <v>19</v>
      </c>
      <c r="H16" s="2" t="n">
        <v>218.7</v>
      </c>
      <c r="I16" s="2" t="n">
        <v>9.7</v>
      </c>
      <c r="J16" s="2" t="s">
        <v>25</v>
      </c>
      <c r="K16" s="2" t="n">
        <v>4</v>
      </c>
      <c r="L16" s="3" t="n">
        <f aca="false">B16-WEEKDAY(B16,2)+1</f>
        <v>46265</v>
      </c>
      <c r="M16" s="4" t="n">
        <f aca="false">IFERROR(INDEX(02_Parâmetros!$B$14:$B$17,MATCH(C16,02_Parâmetros!$A$14:$A$17,0)),"")</f>
        <v>240</v>
      </c>
      <c r="N16" s="2" t="str">
        <f aca="false">IF(OR(H16="",M16=""),"",IF(H16&lt;=M16,"Sim","Não"))</f>
        <v>Sim</v>
      </c>
    </row>
    <row r="17" customFormat="false" ht="15" hidden="false" customHeight="false" outlineLevel="0" collapsed="false">
      <c r="A17" s="2" t="s">
        <v>51</v>
      </c>
      <c r="B17" s="3" t="n">
        <v>46266</v>
      </c>
      <c r="C17" s="2" t="s">
        <v>27</v>
      </c>
      <c r="D17" s="2" t="s">
        <v>16</v>
      </c>
      <c r="E17" s="2" t="s">
        <v>17</v>
      </c>
      <c r="F17" s="2" t="s">
        <v>32</v>
      </c>
      <c r="G17" s="2" t="s">
        <v>19</v>
      </c>
      <c r="H17" s="2" t="n">
        <v>9</v>
      </c>
      <c r="I17" s="2" t="n">
        <v>6.5</v>
      </c>
      <c r="J17" s="2" t="s">
        <v>25</v>
      </c>
      <c r="K17" s="2" t="n">
        <v>5</v>
      </c>
      <c r="L17" s="3" t="n">
        <f aca="false">B17-WEEKDAY(B17,2)+1</f>
        <v>46265</v>
      </c>
      <c r="M17" s="4" t="n">
        <f aca="false">IFERROR(INDEX(02_Parâmetros!$B$14:$B$17,MATCH(C17,02_Parâmetros!$A$14:$A$17,0)),"")</f>
        <v>10</v>
      </c>
      <c r="N17" s="2" t="str">
        <f aca="false">IF(OR(H17="",M17=""),"",IF(H17&lt;=M17,"Sim","Não"))</f>
        <v>Sim</v>
      </c>
    </row>
    <row r="18" customFormat="false" ht="15" hidden="false" customHeight="false" outlineLevel="0" collapsed="false">
      <c r="A18" s="2" t="s">
        <v>52</v>
      </c>
      <c r="B18" s="3" t="n">
        <v>46266</v>
      </c>
      <c r="C18" s="2" t="s">
        <v>41</v>
      </c>
      <c r="D18" s="2" t="s">
        <v>22</v>
      </c>
      <c r="E18" s="2" t="s">
        <v>28</v>
      </c>
      <c r="F18" s="2" t="s">
        <v>24</v>
      </c>
      <c r="G18" s="2" t="s">
        <v>19</v>
      </c>
      <c r="H18" s="2" t="n">
        <v>92.8</v>
      </c>
      <c r="I18" s="2" t="n">
        <v>10</v>
      </c>
      <c r="J18" s="2" t="s">
        <v>20</v>
      </c>
      <c r="K18" s="2"/>
      <c r="L18" s="3" t="n">
        <f aca="false">B18-WEEKDAY(B18,2)+1</f>
        <v>46265</v>
      </c>
      <c r="M18" s="4" t="n">
        <f aca="false">IFERROR(INDEX(02_Parâmetros!$B$14:$B$17,MATCH(C18,02_Parâmetros!$A$14:$A$17,0)),"")</f>
        <v>240</v>
      </c>
      <c r="N18" s="2" t="str">
        <f aca="false">IF(OR(H18="",M18=""),"",IF(H18&lt;=M18,"Sim","Não"))</f>
        <v>Sim</v>
      </c>
    </row>
    <row r="19" customFormat="false" ht="15" hidden="false" customHeight="false" outlineLevel="0" collapsed="false">
      <c r="A19" s="2" t="s">
        <v>53</v>
      </c>
      <c r="B19" s="3" t="n">
        <v>46266</v>
      </c>
      <c r="C19" s="2" t="s">
        <v>27</v>
      </c>
      <c r="D19" s="2" t="s">
        <v>16</v>
      </c>
      <c r="E19" s="2" t="s">
        <v>17</v>
      </c>
      <c r="F19" s="2" t="s">
        <v>24</v>
      </c>
      <c r="G19" s="2" t="s">
        <v>19</v>
      </c>
      <c r="H19" s="2" t="n">
        <v>9.8</v>
      </c>
      <c r="I19" s="2" t="n">
        <v>9.4</v>
      </c>
      <c r="J19" s="2" t="s">
        <v>20</v>
      </c>
      <c r="K19" s="2" t="n">
        <v>3</v>
      </c>
      <c r="L19" s="3" t="n">
        <f aca="false">B19-WEEKDAY(B19,2)+1</f>
        <v>46265</v>
      </c>
      <c r="M19" s="4" t="n">
        <f aca="false">IFERROR(INDEX(02_Parâmetros!$B$14:$B$17,MATCH(C19,02_Parâmetros!$A$14:$A$17,0)),"")</f>
        <v>10</v>
      </c>
      <c r="N19" s="2" t="str">
        <f aca="false">IF(OR(H19="",M19=""),"",IF(H19&lt;=M19,"Sim","Não"))</f>
        <v>Sim</v>
      </c>
    </row>
    <row r="20" customFormat="false" ht="15" hidden="false" customHeight="false" outlineLevel="0" collapsed="false">
      <c r="A20" s="2" t="s">
        <v>54</v>
      </c>
      <c r="B20" s="3" t="n">
        <v>46266</v>
      </c>
      <c r="C20" s="2" t="s">
        <v>15</v>
      </c>
      <c r="D20" s="2" t="s">
        <v>38</v>
      </c>
      <c r="E20" s="2" t="s">
        <v>47</v>
      </c>
      <c r="F20" s="2" t="s">
        <v>18</v>
      </c>
      <c r="G20" s="2" t="s">
        <v>19</v>
      </c>
      <c r="H20" s="2" t="n">
        <v>1</v>
      </c>
      <c r="I20" s="2" t="n">
        <v>15.7</v>
      </c>
      <c r="J20" s="2" t="s">
        <v>20</v>
      </c>
      <c r="K20" s="2" t="n">
        <v>3</v>
      </c>
      <c r="L20" s="3" t="n">
        <f aca="false">B20-WEEKDAY(B20,2)+1</f>
        <v>46265</v>
      </c>
      <c r="M20" s="4" t="n">
        <f aca="false">IFERROR(INDEX(02_Parâmetros!$B$14:$B$17,MATCH(C20,02_Parâmetros!$A$14:$A$17,0)),"")</f>
        <v>1</v>
      </c>
      <c r="N20" s="2" t="str">
        <f aca="false">IF(OR(H20="",M20=""),"",IF(H20&lt;=M20,"Sim","Não"))</f>
        <v>Sim</v>
      </c>
    </row>
    <row r="21" customFormat="false" ht="15" hidden="false" customHeight="false" outlineLevel="0" collapsed="false">
      <c r="A21" s="2" t="s">
        <v>55</v>
      </c>
      <c r="B21" s="3" t="n">
        <v>46266</v>
      </c>
      <c r="C21" s="2" t="s">
        <v>27</v>
      </c>
      <c r="D21" s="2" t="s">
        <v>38</v>
      </c>
      <c r="E21" s="2" t="s">
        <v>56</v>
      </c>
      <c r="F21" s="2" t="s">
        <v>42</v>
      </c>
      <c r="G21" s="2" t="s">
        <v>19</v>
      </c>
      <c r="H21" s="2" t="n">
        <v>7</v>
      </c>
      <c r="I21" s="2" t="n">
        <v>4.3</v>
      </c>
      <c r="J21" s="2" t="s">
        <v>20</v>
      </c>
      <c r="K21" s="2"/>
      <c r="L21" s="3" t="n">
        <f aca="false">B21-WEEKDAY(B21,2)+1</f>
        <v>46265</v>
      </c>
      <c r="M21" s="4" t="n">
        <f aca="false">IFERROR(INDEX(02_Parâmetros!$B$14:$B$17,MATCH(C21,02_Parâmetros!$A$14:$A$17,0)),"")</f>
        <v>10</v>
      </c>
      <c r="N21" s="2" t="str">
        <f aca="false">IF(OR(H21="",M21=""),"",IF(H21&lt;=M21,"Sim","Não"))</f>
        <v>Sim</v>
      </c>
    </row>
    <row r="22" customFormat="false" ht="15" hidden="false" customHeight="false" outlineLevel="0" collapsed="false">
      <c r="A22" s="2" t="s">
        <v>57</v>
      </c>
      <c r="B22" s="3" t="n">
        <v>46266</v>
      </c>
      <c r="C22" s="2" t="s">
        <v>44</v>
      </c>
      <c r="D22" s="2" t="s">
        <v>22</v>
      </c>
      <c r="E22" s="2" t="s">
        <v>28</v>
      </c>
      <c r="F22" s="2" t="s">
        <v>18</v>
      </c>
      <c r="G22" s="2" t="s">
        <v>19</v>
      </c>
      <c r="H22" s="2" t="n">
        <v>1.7</v>
      </c>
      <c r="I22" s="2" t="n">
        <v>20</v>
      </c>
      <c r="J22" s="2" t="s">
        <v>25</v>
      </c>
      <c r="K22" s="2" t="n">
        <v>4</v>
      </c>
      <c r="L22" s="3" t="n">
        <f aca="false">B22-WEEKDAY(B22,2)+1</f>
        <v>46265</v>
      </c>
      <c r="M22" s="4" t="n">
        <f aca="false">IFERROR(INDEX(02_Parâmetros!$B$14:$B$17,MATCH(C22,02_Parâmetros!$A$14:$A$17,0)),"")</f>
        <v>2</v>
      </c>
      <c r="N22" s="2" t="str">
        <f aca="false">IF(OR(H22="",M22=""),"",IF(H22&lt;=M22,"Sim","Não"))</f>
        <v>Sim</v>
      </c>
    </row>
    <row r="23" customFormat="false" ht="15" hidden="false" customHeight="false" outlineLevel="0" collapsed="false">
      <c r="A23" s="2" t="s">
        <v>58</v>
      </c>
      <c r="B23" s="3" t="n">
        <v>46266</v>
      </c>
      <c r="C23" s="2" t="s">
        <v>15</v>
      </c>
      <c r="D23" s="2" t="s">
        <v>38</v>
      </c>
      <c r="E23" s="2" t="s">
        <v>47</v>
      </c>
      <c r="F23" s="2" t="s">
        <v>42</v>
      </c>
      <c r="G23" s="2" t="s">
        <v>19</v>
      </c>
      <c r="H23" s="2" t="n">
        <v>0.8</v>
      </c>
      <c r="I23" s="2" t="n">
        <v>15.2</v>
      </c>
      <c r="J23" s="2" t="s">
        <v>20</v>
      </c>
      <c r="K23" s="2"/>
      <c r="L23" s="3" t="n">
        <f aca="false">B23-WEEKDAY(B23,2)+1</f>
        <v>46265</v>
      </c>
      <c r="M23" s="4" t="n">
        <f aca="false">IFERROR(INDEX(02_Parâmetros!$B$14:$B$17,MATCH(C23,02_Parâmetros!$A$14:$A$17,0)),"")</f>
        <v>1</v>
      </c>
      <c r="N23" s="2" t="str">
        <f aca="false">IF(OR(H23="",M23=""),"",IF(H23&lt;=M23,"Sim","Não"))</f>
        <v>Sim</v>
      </c>
    </row>
    <row r="24" customFormat="false" ht="15" hidden="false" customHeight="false" outlineLevel="0" collapsed="false">
      <c r="A24" s="2" t="s">
        <v>59</v>
      </c>
      <c r="B24" s="3" t="n">
        <v>46266</v>
      </c>
      <c r="C24" s="2" t="s">
        <v>27</v>
      </c>
      <c r="D24" s="2" t="s">
        <v>16</v>
      </c>
      <c r="E24" s="2" t="s">
        <v>17</v>
      </c>
      <c r="F24" s="2" t="s">
        <v>32</v>
      </c>
      <c r="G24" s="2" t="s">
        <v>19</v>
      </c>
      <c r="H24" s="2" t="n">
        <v>9.7</v>
      </c>
      <c r="I24" s="2" t="n">
        <v>6.3</v>
      </c>
      <c r="J24" s="2" t="s">
        <v>20</v>
      </c>
      <c r="K24" s="2"/>
      <c r="L24" s="3" t="n">
        <f aca="false">B24-WEEKDAY(B24,2)+1</f>
        <v>46265</v>
      </c>
      <c r="M24" s="4" t="n">
        <f aca="false">IFERROR(INDEX(02_Parâmetros!$B$14:$B$17,MATCH(C24,02_Parâmetros!$A$14:$A$17,0)),"")</f>
        <v>10</v>
      </c>
      <c r="N24" s="2" t="str">
        <f aca="false">IF(OR(H24="",M24=""),"",IF(H24&lt;=M24,"Sim","Não"))</f>
        <v>Sim</v>
      </c>
    </row>
    <row r="25" customFormat="false" ht="15" hidden="false" customHeight="false" outlineLevel="0" collapsed="false">
      <c r="A25" s="2" t="s">
        <v>60</v>
      </c>
      <c r="B25" s="3" t="n">
        <v>46267</v>
      </c>
      <c r="C25" s="2" t="s">
        <v>41</v>
      </c>
      <c r="D25" s="2" t="s">
        <v>38</v>
      </c>
      <c r="E25" s="2" t="s">
        <v>56</v>
      </c>
      <c r="F25" s="2" t="s">
        <v>18</v>
      </c>
      <c r="G25" s="2" t="s">
        <v>19</v>
      </c>
      <c r="H25" s="2" t="n">
        <v>78</v>
      </c>
      <c r="I25" s="2" t="n">
        <v>10.7</v>
      </c>
      <c r="J25" s="2" t="s">
        <v>20</v>
      </c>
      <c r="K25" s="2" t="n">
        <v>5</v>
      </c>
      <c r="L25" s="3" t="n">
        <f aca="false">B25-WEEKDAY(B25,2)+1</f>
        <v>46265</v>
      </c>
      <c r="M25" s="4" t="n">
        <f aca="false">IFERROR(INDEX(02_Parâmetros!$B$14:$B$17,MATCH(C25,02_Parâmetros!$A$14:$A$17,0)),"")</f>
        <v>240</v>
      </c>
      <c r="N25" s="2" t="str">
        <f aca="false">IF(OR(H25="",M25=""),"",IF(H25&lt;=M25,"Sim","Não"))</f>
        <v>Sim</v>
      </c>
    </row>
    <row r="26" customFormat="false" ht="15" hidden="false" customHeight="false" outlineLevel="0" collapsed="false">
      <c r="A26" s="2" t="s">
        <v>61</v>
      </c>
      <c r="B26" s="3" t="n">
        <v>46267</v>
      </c>
      <c r="C26" s="2" t="s">
        <v>27</v>
      </c>
      <c r="D26" s="2" t="s">
        <v>38</v>
      </c>
      <c r="E26" s="2" t="s">
        <v>47</v>
      </c>
      <c r="F26" s="2" t="s">
        <v>18</v>
      </c>
      <c r="G26" s="2" t="s">
        <v>19</v>
      </c>
      <c r="H26" s="2" t="n">
        <v>4.4</v>
      </c>
      <c r="I26" s="2" t="n">
        <v>7.2</v>
      </c>
      <c r="J26" s="2" t="s">
        <v>25</v>
      </c>
      <c r="K26" s="2"/>
      <c r="L26" s="3" t="n">
        <f aca="false">B26-WEEKDAY(B26,2)+1</f>
        <v>46265</v>
      </c>
      <c r="M26" s="4" t="n">
        <f aca="false">IFERROR(INDEX(02_Parâmetros!$B$14:$B$17,MATCH(C26,02_Parâmetros!$A$14:$A$17,0)),"")</f>
        <v>10</v>
      </c>
      <c r="N26" s="2" t="str">
        <f aca="false">IF(OR(H26="",M26=""),"",IF(H26&lt;=M26,"Sim","Não"))</f>
        <v>Sim</v>
      </c>
    </row>
    <row r="27" customFormat="false" ht="15" hidden="false" customHeight="false" outlineLevel="0" collapsed="false">
      <c r="A27" s="2" t="s">
        <v>62</v>
      </c>
      <c r="B27" s="3" t="n">
        <v>46267</v>
      </c>
      <c r="C27" s="2" t="s">
        <v>41</v>
      </c>
      <c r="D27" s="2" t="s">
        <v>16</v>
      </c>
      <c r="E27" s="2" t="s">
        <v>36</v>
      </c>
      <c r="F27" s="2" t="s">
        <v>34</v>
      </c>
      <c r="G27" s="2" t="s">
        <v>19</v>
      </c>
      <c r="H27" s="2" t="n">
        <v>146.5</v>
      </c>
      <c r="I27" s="2" t="n">
        <v>8.3</v>
      </c>
      <c r="J27" s="2" t="s">
        <v>20</v>
      </c>
      <c r="K27" s="2" t="n">
        <v>4</v>
      </c>
      <c r="L27" s="3" t="n">
        <f aca="false">B27-WEEKDAY(B27,2)+1</f>
        <v>46265</v>
      </c>
      <c r="M27" s="4" t="n">
        <f aca="false">IFERROR(INDEX(02_Parâmetros!$B$14:$B$17,MATCH(C27,02_Parâmetros!$A$14:$A$17,0)),"")</f>
        <v>240</v>
      </c>
      <c r="N27" s="2" t="str">
        <f aca="false">IF(OR(H27="",M27=""),"",IF(H27&lt;=M27,"Sim","Não"))</f>
        <v>Sim</v>
      </c>
    </row>
    <row r="28" customFormat="false" ht="15" hidden="false" customHeight="false" outlineLevel="0" collapsed="false">
      <c r="A28" s="2" t="s">
        <v>63</v>
      </c>
      <c r="B28" s="3" t="n">
        <v>46267</v>
      </c>
      <c r="C28" s="2" t="s">
        <v>44</v>
      </c>
      <c r="D28" s="2" t="s">
        <v>22</v>
      </c>
      <c r="E28" s="2" t="s">
        <v>28</v>
      </c>
      <c r="F28" s="2" t="s">
        <v>42</v>
      </c>
      <c r="G28" s="2" t="s">
        <v>19</v>
      </c>
      <c r="H28" s="2" t="n">
        <v>1.9</v>
      </c>
      <c r="I28" s="2" t="n">
        <v>10.2</v>
      </c>
      <c r="J28" s="2" t="s">
        <v>20</v>
      </c>
      <c r="K28" s="2" t="n">
        <v>4</v>
      </c>
      <c r="L28" s="3" t="n">
        <f aca="false">B28-WEEKDAY(B28,2)+1</f>
        <v>46265</v>
      </c>
      <c r="M28" s="4" t="n">
        <f aca="false">IFERROR(INDEX(02_Parâmetros!$B$14:$B$17,MATCH(C28,02_Parâmetros!$A$14:$A$17,0)),"")</f>
        <v>2</v>
      </c>
      <c r="N28" s="2" t="str">
        <f aca="false">IF(OR(H28="",M28=""),"",IF(H28&lt;=M28,"Sim","Não"))</f>
        <v>Sim</v>
      </c>
    </row>
    <row r="29" customFormat="false" ht="15" hidden="false" customHeight="false" outlineLevel="0" collapsed="false">
      <c r="A29" s="2" t="s">
        <v>64</v>
      </c>
      <c r="B29" s="3" t="n">
        <v>46267</v>
      </c>
      <c r="C29" s="2" t="s">
        <v>27</v>
      </c>
      <c r="D29" s="2" t="s">
        <v>22</v>
      </c>
      <c r="E29" s="2" t="s">
        <v>23</v>
      </c>
      <c r="F29" s="2" t="s">
        <v>24</v>
      </c>
      <c r="G29" s="2" t="s">
        <v>19</v>
      </c>
      <c r="H29" s="2" t="n">
        <v>4</v>
      </c>
      <c r="I29" s="2" t="n">
        <v>7.7</v>
      </c>
      <c r="J29" s="2" t="s">
        <v>25</v>
      </c>
      <c r="K29" s="2"/>
      <c r="L29" s="3" t="n">
        <f aca="false">B29-WEEKDAY(B29,2)+1</f>
        <v>46265</v>
      </c>
      <c r="M29" s="4" t="n">
        <f aca="false">IFERROR(INDEX(02_Parâmetros!$B$14:$B$17,MATCH(C29,02_Parâmetros!$A$14:$A$17,0)),"")</f>
        <v>10</v>
      </c>
      <c r="N29" s="2" t="str">
        <f aca="false">IF(OR(H29="",M29=""),"",IF(H29&lt;=M29,"Sim","Não"))</f>
        <v>Sim</v>
      </c>
    </row>
    <row r="30" customFormat="false" ht="15" hidden="false" customHeight="false" outlineLevel="0" collapsed="false">
      <c r="A30" s="2" t="s">
        <v>65</v>
      </c>
      <c r="B30" s="3" t="n">
        <v>46267</v>
      </c>
      <c r="C30" s="2" t="s">
        <v>27</v>
      </c>
      <c r="D30" s="2" t="s">
        <v>22</v>
      </c>
      <c r="E30" s="2" t="s">
        <v>23</v>
      </c>
      <c r="F30" s="2" t="s">
        <v>32</v>
      </c>
      <c r="G30" s="2" t="s">
        <v>19</v>
      </c>
      <c r="H30" s="2" t="n">
        <v>13.1</v>
      </c>
      <c r="I30" s="2" t="n">
        <v>6.3</v>
      </c>
      <c r="J30" s="2" t="s">
        <v>20</v>
      </c>
      <c r="K30" s="2"/>
      <c r="L30" s="3" t="n">
        <f aca="false">B30-WEEKDAY(B30,2)+1</f>
        <v>46265</v>
      </c>
      <c r="M30" s="4" t="n">
        <f aca="false">IFERROR(INDEX(02_Parâmetros!$B$14:$B$17,MATCH(C30,02_Parâmetros!$A$14:$A$17,0)),"")</f>
        <v>10</v>
      </c>
      <c r="N30" s="2" t="str">
        <f aca="false">IF(OR(H30="",M30=""),"",IF(H30&lt;=M30,"Sim","Não"))</f>
        <v>Não</v>
      </c>
    </row>
    <row r="31" customFormat="false" ht="15" hidden="false" customHeight="false" outlineLevel="0" collapsed="false">
      <c r="A31" s="2" t="s">
        <v>66</v>
      </c>
      <c r="B31" s="3" t="n">
        <v>46267</v>
      </c>
      <c r="C31" s="2" t="s">
        <v>15</v>
      </c>
      <c r="D31" s="2" t="s">
        <v>22</v>
      </c>
      <c r="E31" s="2" t="s">
        <v>28</v>
      </c>
      <c r="F31" s="2" t="s">
        <v>42</v>
      </c>
      <c r="G31" s="2" t="s">
        <v>19</v>
      </c>
      <c r="H31" s="2" t="n">
        <v>0.9</v>
      </c>
      <c r="I31" s="2" t="n">
        <v>15.7</v>
      </c>
      <c r="J31" s="2" t="s">
        <v>20</v>
      </c>
      <c r="K31" s="2" t="n">
        <v>4</v>
      </c>
      <c r="L31" s="3" t="n">
        <f aca="false">B31-WEEKDAY(B31,2)+1</f>
        <v>46265</v>
      </c>
      <c r="M31" s="4" t="n">
        <f aca="false">IFERROR(INDEX(02_Parâmetros!$B$14:$B$17,MATCH(C31,02_Parâmetros!$A$14:$A$17,0)),"")</f>
        <v>1</v>
      </c>
      <c r="N31" s="2" t="str">
        <f aca="false">IF(OR(H31="",M31=""),"",IF(H31&lt;=M31,"Sim","Não"))</f>
        <v>Sim</v>
      </c>
    </row>
    <row r="32" customFormat="false" ht="15" hidden="false" customHeight="false" outlineLevel="0" collapsed="false">
      <c r="A32" s="2" t="s">
        <v>67</v>
      </c>
      <c r="B32" s="3" t="n">
        <v>46267</v>
      </c>
      <c r="C32" s="2" t="s">
        <v>27</v>
      </c>
      <c r="D32" s="2" t="s">
        <v>38</v>
      </c>
      <c r="E32" s="2" t="s">
        <v>47</v>
      </c>
      <c r="F32" s="2" t="s">
        <v>24</v>
      </c>
      <c r="G32" s="2" t="s">
        <v>19</v>
      </c>
      <c r="H32" s="2" t="n">
        <v>9.3</v>
      </c>
      <c r="I32" s="2" t="n">
        <v>11.3</v>
      </c>
      <c r="J32" s="2" t="s">
        <v>20</v>
      </c>
      <c r="K32" s="2" t="n">
        <v>5</v>
      </c>
      <c r="L32" s="3" t="n">
        <f aca="false">B32-WEEKDAY(B32,2)+1</f>
        <v>46265</v>
      </c>
      <c r="M32" s="4" t="n">
        <f aca="false">IFERROR(INDEX(02_Parâmetros!$B$14:$B$17,MATCH(C32,02_Parâmetros!$A$14:$A$17,0)),"")</f>
        <v>10</v>
      </c>
      <c r="N32" s="2" t="str">
        <f aca="false">IF(OR(H32="",M32=""),"",IF(H32&lt;=M32,"Sim","Não"))</f>
        <v>Sim</v>
      </c>
    </row>
    <row r="33" customFormat="false" ht="15" hidden="false" customHeight="false" outlineLevel="0" collapsed="false">
      <c r="A33" s="2" t="s">
        <v>68</v>
      </c>
      <c r="B33" s="3" t="n">
        <v>46267</v>
      </c>
      <c r="C33" s="2" t="s">
        <v>41</v>
      </c>
      <c r="D33" s="2" t="s">
        <v>38</v>
      </c>
      <c r="E33" s="2" t="s">
        <v>39</v>
      </c>
      <c r="F33" s="2" t="s">
        <v>42</v>
      </c>
      <c r="G33" s="2" t="s">
        <v>19</v>
      </c>
      <c r="H33" s="2" t="n">
        <v>134.6</v>
      </c>
      <c r="I33" s="2" t="n">
        <v>13.3</v>
      </c>
      <c r="J33" s="2" t="s">
        <v>20</v>
      </c>
      <c r="K33" s="2" t="n">
        <v>5</v>
      </c>
      <c r="L33" s="3" t="n">
        <f aca="false">B33-WEEKDAY(B33,2)+1</f>
        <v>46265</v>
      </c>
      <c r="M33" s="4" t="n">
        <f aca="false">IFERROR(INDEX(02_Parâmetros!$B$14:$B$17,MATCH(C33,02_Parâmetros!$A$14:$A$17,0)),"")</f>
        <v>240</v>
      </c>
      <c r="N33" s="2" t="str">
        <f aca="false">IF(OR(H33="",M33=""),"",IF(H33&lt;=M33,"Sim","Não"))</f>
        <v>Sim</v>
      </c>
    </row>
    <row r="34" customFormat="false" ht="15" hidden="false" customHeight="false" outlineLevel="0" collapsed="false">
      <c r="A34" s="2" t="s">
        <v>69</v>
      </c>
      <c r="B34" s="3" t="n">
        <v>46267</v>
      </c>
      <c r="C34" s="2" t="s">
        <v>27</v>
      </c>
      <c r="D34" s="2" t="s">
        <v>38</v>
      </c>
      <c r="E34" s="2" t="s">
        <v>39</v>
      </c>
      <c r="F34" s="2" t="s">
        <v>70</v>
      </c>
      <c r="G34" s="2" t="s">
        <v>19</v>
      </c>
      <c r="H34" s="2" t="n">
        <v>7.7</v>
      </c>
      <c r="I34" s="2" t="n">
        <v>7.2</v>
      </c>
      <c r="J34" s="2" t="s">
        <v>20</v>
      </c>
      <c r="K34" s="2"/>
      <c r="L34" s="3" t="n">
        <f aca="false">B34-WEEKDAY(B34,2)+1</f>
        <v>46265</v>
      </c>
      <c r="M34" s="4" t="n">
        <f aca="false">IFERROR(INDEX(02_Parâmetros!$B$14:$B$17,MATCH(C34,02_Parâmetros!$A$14:$A$17,0)),"")</f>
        <v>10</v>
      </c>
      <c r="N34" s="2" t="str">
        <f aca="false">IF(OR(H34="",M34=""),"",IF(H34&lt;=M34,"Sim","Não"))</f>
        <v>Sim</v>
      </c>
    </row>
    <row r="35" customFormat="false" ht="15" hidden="false" customHeight="false" outlineLevel="0" collapsed="false">
      <c r="A35" s="2" t="s">
        <v>71</v>
      </c>
      <c r="B35" s="3" t="n">
        <v>46267</v>
      </c>
      <c r="C35" s="2" t="s">
        <v>41</v>
      </c>
      <c r="D35" s="2" t="s">
        <v>16</v>
      </c>
      <c r="E35" s="2" t="s">
        <v>31</v>
      </c>
      <c r="F35" s="2" t="s">
        <v>24</v>
      </c>
      <c r="G35" s="2" t="s">
        <v>19</v>
      </c>
      <c r="H35" s="2" t="n">
        <v>358.8</v>
      </c>
      <c r="I35" s="2" t="n">
        <v>14.9</v>
      </c>
      <c r="J35" s="2" t="s">
        <v>20</v>
      </c>
      <c r="K35" s="2"/>
      <c r="L35" s="3" t="n">
        <f aca="false">B35-WEEKDAY(B35,2)+1</f>
        <v>46265</v>
      </c>
      <c r="M35" s="4" t="n">
        <f aca="false">IFERROR(INDEX(02_Parâmetros!$B$14:$B$17,MATCH(C35,02_Parâmetros!$A$14:$A$17,0)),"")</f>
        <v>240</v>
      </c>
      <c r="N35" s="2" t="str">
        <f aca="false">IF(OR(H35="",M35=""),"",IF(H35&lt;=M35,"Sim","Não"))</f>
        <v>Não</v>
      </c>
    </row>
    <row r="36" customFormat="false" ht="15" hidden="false" customHeight="false" outlineLevel="0" collapsed="false">
      <c r="A36" s="2" t="s">
        <v>72</v>
      </c>
      <c r="B36" s="3" t="n">
        <v>46267</v>
      </c>
      <c r="C36" s="2" t="s">
        <v>27</v>
      </c>
      <c r="D36" s="2" t="s">
        <v>16</v>
      </c>
      <c r="E36" s="2" t="s">
        <v>17</v>
      </c>
      <c r="F36" s="2" t="s">
        <v>18</v>
      </c>
      <c r="G36" s="2" t="s">
        <v>19</v>
      </c>
      <c r="H36" s="2" t="n">
        <v>2.8</v>
      </c>
      <c r="I36" s="2" t="n">
        <v>8.3</v>
      </c>
      <c r="J36" s="2" t="s">
        <v>20</v>
      </c>
      <c r="K36" s="2" t="n">
        <v>5</v>
      </c>
      <c r="L36" s="3" t="n">
        <f aca="false">B36-WEEKDAY(B36,2)+1</f>
        <v>46265</v>
      </c>
      <c r="M36" s="4" t="n">
        <f aca="false">IFERROR(INDEX(02_Parâmetros!$B$14:$B$17,MATCH(C36,02_Parâmetros!$A$14:$A$17,0)),"")</f>
        <v>10</v>
      </c>
      <c r="N36" s="2" t="str">
        <f aca="false">IF(OR(H36="",M36=""),"",IF(H36&lt;=M36,"Sim","Não"))</f>
        <v>Sim</v>
      </c>
    </row>
    <row r="37" customFormat="false" ht="15" hidden="false" customHeight="false" outlineLevel="0" collapsed="false">
      <c r="A37" s="2" t="s">
        <v>73</v>
      </c>
      <c r="B37" s="3" t="n">
        <v>46267</v>
      </c>
      <c r="C37" s="2" t="s">
        <v>27</v>
      </c>
      <c r="D37" s="2" t="s">
        <v>22</v>
      </c>
      <c r="E37" s="2" t="s">
        <v>28</v>
      </c>
      <c r="F37" s="2" t="s">
        <v>18</v>
      </c>
      <c r="G37" s="2" t="s">
        <v>19</v>
      </c>
      <c r="H37" s="2" t="n">
        <v>7.5</v>
      </c>
      <c r="I37" s="2" t="n">
        <v>15</v>
      </c>
      <c r="J37" s="2" t="s">
        <v>25</v>
      </c>
      <c r="K37" s="2"/>
      <c r="L37" s="3" t="n">
        <f aca="false">B37-WEEKDAY(B37,2)+1</f>
        <v>46265</v>
      </c>
      <c r="M37" s="4" t="n">
        <f aca="false">IFERROR(INDEX(02_Parâmetros!$B$14:$B$17,MATCH(C37,02_Parâmetros!$A$14:$A$17,0)),"")</f>
        <v>10</v>
      </c>
      <c r="N37" s="2" t="str">
        <f aca="false">IF(OR(H37="",M37=""),"",IF(H37&lt;=M37,"Sim","Não"))</f>
        <v>Sim</v>
      </c>
    </row>
    <row r="38" customFormat="false" ht="15" hidden="false" customHeight="false" outlineLevel="0" collapsed="false">
      <c r="A38" s="2" t="s">
        <v>74</v>
      </c>
      <c r="B38" s="3" t="n">
        <v>46267</v>
      </c>
      <c r="C38" s="2" t="s">
        <v>27</v>
      </c>
      <c r="D38" s="2" t="s">
        <v>38</v>
      </c>
      <c r="E38" s="2" t="s">
        <v>56</v>
      </c>
      <c r="F38" s="2" t="s">
        <v>34</v>
      </c>
      <c r="G38" s="2" t="s">
        <v>19</v>
      </c>
      <c r="H38" s="2"/>
      <c r="I38" s="2" t="n">
        <v>5.8</v>
      </c>
      <c r="J38" s="2" t="s">
        <v>20</v>
      </c>
      <c r="K38" s="2"/>
      <c r="L38" s="3" t="n">
        <f aca="false">B38-WEEKDAY(B38,2)+1</f>
        <v>46265</v>
      </c>
      <c r="M38" s="4" t="n">
        <f aca="false">IFERROR(INDEX(02_Parâmetros!$B$14:$B$17,MATCH(C38,02_Parâmetros!$A$14:$A$17,0)),"")</f>
        <v>10</v>
      </c>
      <c r="N38" s="2" t="str">
        <f aca="false">IF(OR(H38="",M38=""),"",IF(H38&lt;=M38,"Sim","Não"))</f>
        <v/>
      </c>
    </row>
    <row r="39" customFormat="false" ht="15" hidden="false" customHeight="false" outlineLevel="0" collapsed="false">
      <c r="A39" s="2" t="s">
        <v>75</v>
      </c>
      <c r="B39" s="3" t="n">
        <v>46267</v>
      </c>
      <c r="C39" s="2" t="s">
        <v>44</v>
      </c>
      <c r="D39" s="2" t="s">
        <v>16</v>
      </c>
      <c r="E39" s="2" t="s">
        <v>17</v>
      </c>
      <c r="F39" s="2" t="s">
        <v>34</v>
      </c>
      <c r="G39" s="2" t="s">
        <v>19</v>
      </c>
      <c r="H39" s="2" t="n">
        <v>1.3</v>
      </c>
      <c r="I39" s="2" t="n">
        <v>5.7</v>
      </c>
      <c r="J39" s="2" t="s">
        <v>20</v>
      </c>
      <c r="K39" s="2"/>
      <c r="L39" s="3" t="n">
        <f aca="false">B39-WEEKDAY(B39,2)+1</f>
        <v>46265</v>
      </c>
      <c r="M39" s="4" t="n">
        <f aca="false">IFERROR(INDEX(02_Parâmetros!$B$14:$B$17,MATCH(C39,02_Parâmetros!$A$14:$A$17,0)),"")</f>
        <v>2</v>
      </c>
      <c r="N39" s="2" t="str">
        <f aca="false">IF(OR(H39="",M39=""),"",IF(H39&lt;=M39,"Sim","Não"))</f>
        <v>Sim</v>
      </c>
    </row>
    <row r="40" customFormat="false" ht="15" hidden="false" customHeight="false" outlineLevel="0" collapsed="false">
      <c r="A40" s="2" t="s">
        <v>76</v>
      </c>
      <c r="B40" s="3" t="n">
        <v>46267</v>
      </c>
      <c r="C40" s="2" t="s">
        <v>15</v>
      </c>
      <c r="D40" s="2" t="s">
        <v>38</v>
      </c>
      <c r="E40" s="2" t="s">
        <v>47</v>
      </c>
      <c r="F40" s="2" t="s">
        <v>24</v>
      </c>
      <c r="G40" s="2" t="s">
        <v>19</v>
      </c>
      <c r="H40" s="2" t="n">
        <v>0.5</v>
      </c>
      <c r="I40" s="2" t="n">
        <v>20.2</v>
      </c>
      <c r="J40" s="2" t="s">
        <v>20</v>
      </c>
      <c r="K40" s="2"/>
      <c r="L40" s="3" t="n">
        <f aca="false">B40-WEEKDAY(B40,2)+1</f>
        <v>46265</v>
      </c>
      <c r="M40" s="4" t="n">
        <f aca="false">IFERROR(INDEX(02_Parâmetros!$B$14:$B$17,MATCH(C40,02_Parâmetros!$A$14:$A$17,0)),"")</f>
        <v>1</v>
      </c>
      <c r="N40" s="2" t="str">
        <f aca="false">IF(OR(H40="",M40=""),"",IF(H40&lt;=M40,"Sim","Não"))</f>
        <v>Sim</v>
      </c>
    </row>
    <row r="41" customFormat="false" ht="15" hidden="false" customHeight="false" outlineLevel="0" collapsed="false">
      <c r="A41" s="2" t="s">
        <v>77</v>
      </c>
      <c r="B41" s="3" t="n">
        <v>46267</v>
      </c>
      <c r="C41" s="2" t="s">
        <v>27</v>
      </c>
      <c r="D41" s="2" t="s">
        <v>16</v>
      </c>
      <c r="E41" s="2" t="s">
        <v>31</v>
      </c>
      <c r="F41" s="2" t="s">
        <v>18</v>
      </c>
      <c r="G41" s="2" t="s">
        <v>78</v>
      </c>
      <c r="H41" s="2" t="n">
        <v>2.9</v>
      </c>
      <c r="I41" s="2" t="n">
        <v>9.6</v>
      </c>
      <c r="J41" s="2"/>
      <c r="K41" s="2" t="n">
        <v>3</v>
      </c>
      <c r="L41" s="3" t="n">
        <f aca="false">B41-WEEKDAY(B41,2)+1</f>
        <v>46265</v>
      </c>
      <c r="M41" s="4" t="n">
        <f aca="false">IFERROR(INDEX(02_Parâmetros!$B$14:$B$17,MATCH(C41,02_Parâmetros!$A$14:$A$17,0)),"")</f>
        <v>10</v>
      </c>
      <c r="N41" s="2" t="str">
        <f aca="false">IF(OR(H41="",M41=""),"",IF(H41&lt;=M41,"Sim","Não"))</f>
        <v>Sim</v>
      </c>
    </row>
    <row r="42" customFormat="false" ht="15" hidden="false" customHeight="false" outlineLevel="0" collapsed="false">
      <c r="A42" s="2" t="s">
        <v>79</v>
      </c>
      <c r="B42" s="3" t="n">
        <v>46267</v>
      </c>
      <c r="C42" s="2" t="s">
        <v>27</v>
      </c>
      <c r="D42" s="2" t="s">
        <v>22</v>
      </c>
      <c r="E42" s="2" t="s">
        <v>28</v>
      </c>
      <c r="F42" s="2" t="s">
        <v>70</v>
      </c>
      <c r="G42" s="2" t="s">
        <v>19</v>
      </c>
      <c r="H42" s="2" t="n">
        <v>5.5</v>
      </c>
      <c r="I42" s="2" t="n">
        <v>6.4</v>
      </c>
      <c r="J42" s="2" t="s">
        <v>20</v>
      </c>
      <c r="K42" s="2"/>
      <c r="L42" s="3" t="n">
        <f aca="false">B42-WEEKDAY(B42,2)+1</f>
        <v>46265</v>
      </c>
      <c r="M42" s="4" t="n">
        <f aca="false">IFERROR(INDEX(02_Parâmetros!$B$14:$B$17,MATCH(C42,02_Parâmetros!$A$14:$A$17,0)),"")</f>
        <v>10</v>
      </c>
      <c r="N42" s="2" t="str">
        <f aca="false">IF(OR(H42="",M42=""),"",IF(H42&lt;=M42,"Sim","Não"))</f>
        <v>Sim</v>
      </c>
    </row>
    <row r="43" customFormat="false" ht="15" hidden="false" customHeight="false" outlineLevel="0" collapsed="false">
      <c r="A43" s="2" t="s">
        <v>80</v>
      </c>
      <c r="B43" s="3" t="n">
        <v>46267</v>
      </c>
      <c r="C43" s="2" t="s">
        <v>41</v>
      </c>
      <c r="D43" s="2" t="s">
        <v>22</v>
      </c>
      <c r="E43" s="2" t="s">
        <v>23</v>
      </c>
      <c r="F43" s="2" t="s">
        <v>18</v>
      </c>
      <c r="G43" s="2" t="s">
        <v>19</v>
      </c>
      <c r="H43" s="2" t="n">
        <v>706.2</v>
      </c>
      <c r="I43" s="2" t="n">
        <v>17.8</v>
      </c>
      <c r="J43" s="2" t="s">
        <v>25</v>
      </c>
      <c r="K43" s="2"/>
      <c r="L43" s="3" t="n">
        <f aca="false">B43-WEEKDAY(B43,2)+1</f>
        <v>46265</v>
      </c>
      <c r="M43" s="4" t="n">
        <f aca="false">IFERROR(INDEX(02_Parâmetros!$B$14:$B$17,MATCH(C43,02_Parâmetros!$A$14:$A$17,0)),"")</f>
        <v>240</v>
      </c>
      <c r="N43" s="2" t="str">
        <f aca="false">IF(OR(H43="",M43=""),"",IF(H43&lt;=M43,"Sim","Não"))</f>
        <v>Não</v>
      </c>
    </row>
    <row r="44" customFormat="false" ht="15" hidden="false" customHeight="false" outlineLevel="0" collapsed="false">
      <c r="A44" s="2" t="s">
        <v>81</v>
      </c>
      <c r="B44" s="3" t="n">
        <v>46267</v>
      </c>
      <c r="C44" s="2" t="s">
        <v>15</v>
      </c>
      <c r="D44" s="2" t="s">
        <v>22</v>
      </c>
      <c r="E44" s="2" t="s">
        <v>23</v>
      </c>
      <c r="F44" s="2" t="s">
        <v>70</v>
      </c>
      <c r="G44" s="2" t="s">
        <v>19</v>
      </c>
      <c r="H44" s="2" t="n">
        <v>0.7</v>
      </c>
      <c r="I44" s="2" t="n">
        <v>10.1</v>
      </c>
      <c r="J44" s="2" t="s">
        <v>20</v>
      </c>
      <c r="K44" s="2"/>
      <c r="L44" s="3" t="n">
        <f aca="false">B44-WEEKDAY(B44,2)+1</f>
        <v>46265</v>
      </c>
      <c r="M44" s="4" t="n">
        <f aca="false">IFERROR(INDEX(02_Parâmetros!$B$14:$B$17,MATCH(C44,02_Parâmetros!$A$14:$A$17,0)),"")</f>
        <v>1</v>
      </c>
      <c r="N44" s="2" t="str">
        <f aca="false">IF(OR(H44="",M44=""),"",IF(H44&lt;=M44,"Sim","Não"))</f>
        <v>Sim</v>
      </c>
    </row>
    <row r="45" customFormat="false" ht="15" hidden="false" customHeight="false" outlineLevel="0" collapsed="false">
      <c r="A45" s="2" t="s">
        <v>82</v>
      </c>
      <c r="B45" s="3" t="n">
        <v>46267</v>
      </c>
      <c r="C45" s="2" t="s">
        <v>41</v>
      </c>
      <c r="D45" s="2" t="s">
        <v>38</v>
      </c>
      <c r="E45" s="2" t="s">
        <v>56</v>
      </c>
      <c r="F45" s="2" t="s">
        <v>18</v>
      </c>
      <c r="G45" s="2" t="s">
        <v>19</v>
      </c>
      <c r="H45" s="2" t="n">
        <v>143.6</v>
      </c>
      <c r="I45" s="2" t="n">
        <v>9.6</v>
      </c>
      <c r="J45" s="2" t="s">
        <v>25</v>
      </c>
      <c r="K45" s="2" t="n">
        <v>2</v>
      </c>
      <c r="L45" s="3" t="n">
        <f aca="false">B45-WEEKDAY(B45,2)+1</f>
        <v>46265</v>
      </c>
      <c r="M45" s="4" t="n">
        <f aca="false">IFERROR(INDEX(02_Parâmetros!$B$14:$B$17,MATCH(C45,02_Parâmetros!$A$14:$A$17,0)),"")</f>
        <v>240</v>
      </c>
      <c r="N45" s="2" t="str">
        <f aca="false">IF(OR(H45="",M45=""),"",IF(H45&lt;=M45,"Sim","Não"))</f>
        <v>Sim</v>
      </c>
    </row>
    <row r="46" customFormat="false" ht="15" hidden="false" customHeight="false" outlineLevel="0" collapsed="false">
      <c r="A46" s="2" t="s">
        <v>83</v>
      </c>
      <c r="B46" s="3" t="n">
        <v>46267</v>
      </c>
      <c r="C46" s="2" t="s">
        <v>27</v>
      </c>
      <c r="D46" s="2" t="s">
        <v>16</v>
      </c>
      <c r="E46" s="2" t="s">
        <v>31</v>
      </c>
      <c r="F46" s="2" t="s">
        <v>70</v>
      </c>
      <c r="G46" s="2" t="s">
        <v>19</v>
      </c>
      <c r="H46" s="2" t="n">
        <v>3.4</v>
      </c>
      <c r="I46" s="2" t="n">
        <v>4.6</v>
      </c>
      <c r="J46" s="2" t="s">
        <v>25</v>
      </c>
      <c r="K46" s="2" t="n">
        <v>5</v>
      </c>
      <c r="L46" s="3" t="n">
        <f aca="false">B46-WEEKDAY(B46,2)+1</f>
        <v>46265</v>
      </c>
      <c r="M46" s="4" t="n">
        <f aca="false">IFERROR(INDEX(02_Parâmetros!$B$14:$B$17,MATCH(C46,02_Parâmetros!$A$14:$A$17,0)),"")</f>
        <v>10</v>
      </c>
      <c r="N46" s="2" t="str">
        <f aca="false">IF(OR(H46="",M46=""),"",IF(H46&lt;=M46,"Sim","Não"))</f>
        <v>Sim</v>
      </c>
    </row>
    <row r="47" customFormat="false" ht="15" hidden="false" customHeight="false" outlineLevel="0" collapsed="false">
      <c r="A47" s="2" t="s">
        <v>84</v>
      </c>
      <c r="B47" s="3" t="n">
        <v>46267</v>
      </c>
      <c r="C47" s="2" t="s">
        <v>27</v>
      </c>
      <c r="D47" s="2" t="s">
        <v>22</v>
      </c>
      <c r="E47" s="2" t="s">
        <v>23</v>
      </c>
      <c r="F47" s="2" t="s">
        <v>18</v>
      </c>
      <c r="G47" s="2" t="s">
        <v>19</v>
      </c>
      <c r="H47" s="2" t="n">
        <v>4.2</v>
      </c>
      <c r="I47" s="2" t="n">
        <v>7.8</v>
      </c>
      <c r="J47" s="2" t="s">
        <v>25</v>
      </c>
      <c r="K47" s="2"/>
      <c r="L47" s="3" t="n">
        <f aca="false">B47-WEEKDAY(B47,2)+1</f>
        <v>46265</v>
      </c>
      <c r="M47" s="4" t="n">
        <f aca="false">IFERROR(INDEX(02_Parâmetros!$B$14:$B$17,MATCH(C47,02_Parâmetros!$A$14:$A$17,0)),"")</f>
        <v>10</v>
      </c>
      <c r="N47" s="2" t="str">
        <f aca="false">IF(OR(H47="",M47=""),"",IF(H47&lt;=M47,"Sim","Não"))</f>
        <v>Sim</v>
      </c>
    </row>
    <row r="48" customFormat="false" ht="15" hidden="false" customHeight="false" outlineLevel="0" collapsed="false">
      <c r="A48" s="2" t="s">
        <v>85</v>
      </c>
      <c r="B48" s="3" t="n">
        <v>46267</v>
      </c>
      <c r="C48" s="2" t="s">
        <v>27</v>
      </c>
      <c r="D48" s="2" t="s">
        <v>38</v>
      </c>
      <c r="E48" s="2" t="s">
        <v>47</v>
      </c>
      <c r="F48" s="2" t="s">
        <v>24</v>
      </c>
      <c r="G48" s="2" t="s">
        <v>19</v>
      </c>
      <c r="H48" s="2" t="n">
        <v>9.4</v>
      </c>
      <c r="I48" s="2" t="n">
        <v>7.3</v>
      </c>
      <c r="J48" s="2" t="s">
        <v>20</v>
      </c>
      <c r="K48" s="2"/>
      <c r="L48" s="3" t="n">
        <f aca="false">B48-WEEKDAY(B48,2)+1</f>
        <v>46265</v>
      </c>
      <c r="M48" s="4" t="n">
        <f aca="false">IFERROR(INDEX(02_Parâmetros!$B$14:$B$17,MATCH(C48,02_Parâmetros!$A$14:$A$17,0)),"")</f>
        <v>10</v>
      </c>
      <c r="N48" s="2" t="str">
        <f aca="false">IF(OR(H48="",M48=""),"",IF(H48&lt;=M48,"Sim","Não"))</f>
        <v>Sim</v>
      </c>
    </row>
    <row r="49" customFormat="false" ht="15" hidden="false" customHeight="false" outlineLevel="0" collapsed="false">
      <c r="A49" s="2" t="s">
        <v>86</v>
      </c>
      <c r="B49" s="3" t="n">
        <v>46267</v>
      </c>
      <c r="C49" s="2" t="s">
        <v>27</v>
      </c>
      <c r="D49" s="2" t="s">
        <v>16</v>
      </c>
      <c r="E49" s="2" t="s">
        <v>17</v>
      </c>
      <c r="F49" s="2" t="s">
        <v>18</v>
      </c>
      <c r="G49" s="2" t="s">
        <v>19</v>
      </c>
      <c r="H49" s="2" t="n">
        <v>13.2</v>
      </c>
      <c r="I49" s="2" t="n">
        <v>7.3</v>
      </c>
      <c r="J49" s="2" t="s">
        <v>25</v>
      </c>
      <c r="K49" s="2" t="n">
        <v>3</v>
      </c>
      <c r="L49" s="3" t="n">
        <f aca="false">B49-WEEKDAY(B49,2)+1</f>
        <v>46265</v>
      </c>
      <c r="M49" s="4" t="n">
        <f aca="false">IFERROR(INDEX(02_Parâmetros!$B$14:$B$17,MATCH(C49,02_Parâmetros!$A$14:$A$17,0)),"")</f>
        <v>10</v>
      </c>
      <c r="N49" s="2" t="str">
        <f aca="false">IF(OR(H49="",M49=""),"",IF(H49&lt;=M49,"Sim","Não"))</f>
        <v>Não</v>
      </c>
    </row>
    <row r="50" customFormat="false" ht="15" hidden="false" customHeight="false" outlineLevel="0" collapsed="false">
      <c r="A50" s="2" t="s">
        <v>87</v>
      </c>
      <c r="B50" s="3" t="n">
        <v>46267</v>
      </c>
      <c r="C50" s="2" t="s">
        <v>15</v>
      </c>
      <c r="D50" s="2" t="s">
        <v>16</v>
      </c>
      <c r="E50" s="2" t="s">
        <v>17</v>
      </c>
      <c r="F50" s="2" t="s">
        <v>34</v>
      </c>
      <c r="G50" s="2" t="s">
        <v>19</v>
      </c>
      <c r="H50" s="2" t="n">
        <v>0.4</v>
      </c>
      <c r="I50" s="2" t="n">
        <v>13.6</v>
      </c>
      <c r="J50" s="2" t="s">
        <v>20</v>
      </c>
      <c r="K50" s="2" t="n">
        <v>4</v>
      </c>
      <c r="L50" s="3" t="n">
        <f aca="false">B50-WEEKDAY(B50,2)+1</f>
        <v>46265</v>
      </c>
      <c r="M50" s="4" t="n">
        <f aca="false">IFERROR(INDEX(02_Parâmetros!$B$14:$B$17,MATCH(C50,02_Parâmetros!$A$14:$A$17,0)),"")</f>
        <v>1</v>
      </c>
      <c r="N50" s="2" t="str">
        <f aca="false">IF(OR(H50="",M50=""),"",IF(H50&lt;=M50,"Sim","Não"))</f>
        <v>Sim</v>
      </c>
    </row>
    <row r="51" customFormat="false" ht="15" hidden="false" customHeight="false" outlineLevel="0" collapsed="false">
      <c r="A51" s="2" t="s">
        <v>88</v>
      </c>
      <c r="B51" s="3" t="n">
        <v>46267</v>
      </c>
      <c r="C51" s="2" t="s">
        <v>15</v>
      </c>
      <c r="D51" s="2" t="s">
        <v>22</v>
      </c>
      <c r="E51" s="2" t="s">
        <v>23</v>
      </c>
      <c r="F51" s="2" t="s">
        <v>18</v>
      </c>
      <c r="G51" s="2" t="s">
        <v>19</v>
      </c>
      <c r="H51" s="2" t="n">
        <v>0.7</v>
      </c>
      <c r="I51" s="2" t="n">
        <v>8.9</v>
      </c>
      <c r="J51" s="2" t="s">
        <v>25</v>
      </c>
      <c r="K51" s="2"/>
      <c r="L51" s="3" t="n">
        <f aca="false">B51-WEEKDAY(B51,2)+1</f>
        <v>46265</v>
      </c>
      <c r="M51" s="4" t="n">
        <f aca="false">IFERROR(INDEX(02_Parâmetros!$B$14:$B$17,MATCH(C51,02_Parâmetros!$A$14:$A$17,0)),"")</f>
        <v>1</v>
      </c>
      <c r="N51" s="2" t="str">
        <f aca="false">IF(OR(H51="",M51=""),"",IF(H51&lt;=M51,"Sim","Não"))</f>
        <v>Sim</v>
      </c>
    </row>
    <row r="52" customFormat="false" ht="15" hidden="false" customHeight="false" outlineLevel="0" collapsed="false">
      <c r="A52" s="2" t="s">
        <v>89</v>
      </c>
      <c r="B52" s="3" t="n">
        <v>46267</v>
      </c>
      <c r="C52" s="2" t="s">
        <v>15</v>
      </c>
      <c r="D52" s="2" t="s">
        <v>22</v>
      </c>
      <c r="E52" s="2" t="s">
        <v>28</v>
      </c>
      <c r="F52" s="2" t="s">
        <v>70</v>
      </c>
      <c r="G52" s="2" t="s">
        <v>19</v>
      </c>
      <c r="H52" s="2" t="n">
        <v>0.8</v>
      </c>
      <c r="I52" s="2" t="n">
        <v>7.8</v>
      </c>
      <c r="J52" s="2" t="s">
        <v>20</v>
      </c>
      <c r="K52" s="2" t="n">
        <v>5</v>
      </c>
      <c r="L52" s="3" t="n">
        <f aca="false">B52-WEEKDAY(B52,2)+1</f>
        <v>46265</v>
      </c>
      <c r="M52" s="4" t="n">
        <f aca="false">IFERROR(INDEX(02_Parâmetros!$B$14:$B$17,MATCH(C52,02_Parâmetros!$A$14:$A$17,0)),"")</f>
        <v>1</v>
      </c>
      <c r="N52" s="2" t="str">
        <f aca="false">IF(OR(H52="",M52=""),"",IF(H52&lt;=M52,"Sim","Não"))</f>
        <v>Sim</v>
      </c>
    </row>
    <row r="53" customFormat="false" ht="15" hidden="false" customHeight="false" outlineLevel="0" collapsed="false">
      <c r="A53" s="2" t="s">
        <v>90</v>
      </c>
      <c r="B53" s="3" t="n">
        <v>46267</v>
      </c>
      <c r="C53" s="2" t="s">
        <v>41</v>
      </c>
      <c r="D53" s="2" t="s">
        <v>22</v>
      </c>
      <c r="E53" s="2" t="s">
        <v>23</v>
      </c>
      <c r="F53" s="2" t="s">
        <v>24</v>
      </c>
      <c r="G53" s="2" t="s">
        <v>19</v>
      </c>
      <c r="H53" s="2" t="n">
        <v>219.4</v>
      </c>
      <c r="I53" s="2" t="n">
        <v>10.2</v>
      </c>
      <c r="J53" s="2" t="s">
        <v>20</v>
      </c>
      <c r="K53" s="2"/>
      <c r="L53" s="3" t="n">
        <f aca="false">B53-WEEKDAY(B53,2)+1</f>
        <v>46265</v>
      </c>
      <c r="M53" s="4" t="n">
        <f aca="false">IFERROR(INDEX(02_Parâmetros!$B$14:$B$17,MATCH(C53,02_Parâmetros!$A$14:$A$17,0)),"")</f>
        <v>240</v>
      </c>
      <c r="N53" s="2" t="str">
        <f aca="false">IF(OR(H53="",M53=""),"",IF(H53&lt;=M53,"Sim","Não"))</f>
        <v>Sim</v>
      </c>
    </row>
    <row r="54" customFormat="false" ht="15" hidden="false" customHeight="false" outlineLevel="0" collapsed="false">
      <c r="A54" s="2" t="s">
        <v>91</v>
      </c>
      <c r="B54" s="3" t="n">
        <v>46267</v>
      </c>
      <c r="C54" s="2" t="s">
        <v>27</v>
      </c>
      <c r="D54" s="2" t="s">
        <v>16</v>
      </c>
      <c r="E54" s="2" t="s">
        <v>36</v>
      </c>
      <c r="F54" s="2" t="s">
        <v>18</v>
      </c>
      <c r="G54" s="2" t="s">
        <v>19</v>
      </c>
      <c r="H54" s="2" t="n">
        <v>5.4</v>
      </c>
      <c r="I54" s="2" t="n">
        <v>7.7</v>
      </c>
      <c r="J54" s="2" t="s">
        <v>20</v>
      </c>
      <c r="K54" s="2"/>
      <c r="L54" s="3" t="n">
        <f aca="false">B54-WEEKDAY(B54,2)+1</f>
        <v>46265</v>
      </c>
      <c r="M54" s="4" t="n">
        <f aca="false">IFERROR(INDEX(02_Parâmetros!$B$14:$B$17,MATCH(C54,02_Parâmetros!$A$14:$A$17,0)),"")</f>
        <v>10</v>
      </c>
      <c r="N54" s="2" t="str">
        <f aca="false">IF(OR(H54="",M54=""),"",IF(H54&lt;=M54,"Sim","Não"))</f>
        <v>Sim</v>
      </c>
    </row>
    <row r="55" customFormat="false" ht="15" hidden="false" customHeight="false" outlineLevel="0" collapsed="false">
      <c r="A55" s="2" t="s">
        <v>92</v>
      </c>
      <c r="B55" s="3" t="n">
        <v>46267</v>
      </c>
      <c r="C55" s="2" t="s">
        <v>44</v>
      </c>
      <c r="D55" s="2" t="s">
        <v>38</v>
      </c>
      <c r="E55" s="2" t="s">
        <v>56</v>
      </c>
      <c r="F55" s="2" t="s">
        <v>42</v>
      </c>
      <c r="G55" s="2" t="s">
        <v>19</v>
      </c>
      <c r="H55" s="2" t="n">
        <v>0.7</v>
      </c>
      <c r="I55" s="2" t="n">
        <v>6.6</v>
      </c>
      <c r="J55" s="2" t="s">
        <v>20</v>
      </c>
      <c r="K55" s="2"/>
      <c r="L55" s="3" t="n">
        <f aca="false">B55-WEEKDAY(B55,2)+1</f>
        <v>46265</v>
      </c>
      <c r="M55" s="4" t="n">
        <f aca="false">IFERROR(INDEX(02_Parâmetros!$B$14:$B$17,MATCH(C55,02_Parâmetros!$A$14:$A$17,0)),"")</f>
        <v>2</v>
      </c>
      <c r="N55" s="2" t="str">
        <f aca="false">IF(OR(H55="",M55=""),"",IF(H55&lt;=M55,"Sim","Não"))</f>
        <v>Sim</v>
      </c>
    </row>
    <row r="56" customFormat="false" ht="15" hidden="false" customHeight="false" outlineLevel="0" collapsed="false">
      <c r="A56" s="2" t="s">
        <v>93</v>
      </c>
      <c r="B56" s="3" t="n">
        <v>46268</v>
      </c>
      <c r="C56" s="2" t="s">
        <v>27</v>
      </c>
      <c r="D56" s="2" t="s">
        <v>16</v>
      </c>
      <c r="E56" s="2" t="s">
        <v>36</v>
      </c>
      <c r="F56" s="2" t="s">
        <v>18</v>
      </c>
      <c r="G56" s="2" t="s">
        <v>19</v>
      </c>
      <c r="H56" s="2" t="n">
        <v>7.1</v>
      </c>
      <c r="I56" s="2" t="n">
        <v>6.9</v>
      </c>
      <c r="J56" s="2" t="s">
        <v>20</v>
      </c>
      <c r="K56" s="2" t="n">
        <v>5</v>
      </c>
      <c r="L56" s="3" t="n">
        <f aca="false">B56-WEEKDAY(B56,2)+1</f>
        <v>46265</v>
      </c>
      <c r="M56" s="4" t="n">
        <f aca="false">IFERROR(INDEX(02_Parâmetros!$B$14:$B$17,MATCH(C56,02_Parâmetros!$A$14:$A$17,0)),"")</f>
        <v>10</v>
      </c>
      <c r="N56" s="2" t="str">
        <f aca="false">IF(OR(H56="",M56=""),"",IF(H56&lt;=M56,"Sim","Não"))</f>
        <v>Sim</v>
      </c>
    </row>
    <row r="57" customFormat="false" ht="15" hidden="false" customHeight="false" outlineLevel="0" collapsed="false">
      <c r="A57" s="2" t="s">
        <v>94</v>
      </c>
      <c r="B57" s="3" t="n">
        <v>46268</v>
      </c>
      <c r="C57" s="2" t="s">
        <v>27</v>
      </c>
      <c r="D57" s="2" t="s">
        <v>38</v>
      </c>
      <c r="E57" s="2" t="s">
        <v>56</v>
      </c>
      <c r="F57" s="2" t="s">
        <v>70</v>
      </c>
      <c r="G57" s="2" t="s">
        <v>19</v>
      </c>
      <c r="H57" s="2" t="n">
        <v>9.1</v>
      </c>
      <c r="I57" s="2" t="n">
        <v>5.2</v>
      </c>
      <c r="J57" s="2" t="s">
        <v>20</v>
      </c>
      <c r="K57" s="2" t="n">
        <v>5</v>
      </c>
      <c r="L57" s="3" t="n">
        <f aca="false">B57-WEEKDAY(B57,2)+1</f>
        <v>46265</v>
      </c>
      <c r="M57" s="4" t="n">
        <f aca="false">IFERROR(INDEX(02_Parâmetros!$B$14:$B$17,MATCH(C57,02_Parâmetros!$A$14:$A$17,0)),"")</f>
        <v>10</v>
      </c>
      <c r="N57" s="2" t="str">
        <f aca="false">IF(OR(H57="",M57=""),"",IF(H57&lt;=M57,"Sim","Não"))</f>
        <v>Sim</v>
      </c>
    </row>
    <row r="58" customFormat="false" ht="15" hidden="false" customHeight="false" outlineLevel="0" collapsed="false">
      <c r="A58" s="2" t="s">
        <v>95</v>
      </c>
      <c r="B58" s="3" t="n">
        <v>46268</v>
      </c>
      <c r="C58" s="2" t="s">
        <v>27</v>
      </c>
      <c r="D58" s="2" t="s">
        <v>16</v>
      </c>
      <c r="E58" s="2" t="s">
        <v>31</v>
      </c>
      <c r="F58" s="2" t="s">
        <v>18</v>
      </c>
      <c r="G58" s="2" t="s">
        <v>19</v>
      </c>
      <c r="H58" s="2" t="n">
        <v>9.4</v>
      </c>
      <c r="I58" s="2" t="n">
        <v>7.4</v>
      </c>
      <c r="J58" s="2" t="s">
        <v>20</v>
      </c>
      <c r="K58" s="2" t="n">
        <v>5</v>
      </c>
      <c r="L58" s="3" t="n">
        <f aca="false">B58-WEEKDAY(B58,2)+1</f>
        <v>46265</v>
      </c>
      <c r="M58" s="4" t="n">
        <f aca="false">IFERROR(INDEX(02_Parâmetros!$B$14:$B$17,MATCH(C58,02_Parâmetros!$A$14:$A$17,0)),"")</f>
        <v>10</v>
      </c>
      <c r="N58" s="2" t="str">
        <f aca="false">IF(OR(H58="",M58=""),"",IF(H58&lt;=M58,"Sim","Não"))</f>
        <v>Sim</v>
      </c>
    </row>
    <row r="59" customFormat="false" ht="15" hidden="false" customHeight="false" outlineLevel="0" collapsed="false">
      <c r="A59" s="2" t="s">
        <v>96</v>
      </c>
      <c r="B59" s="3" t="n">
        <v>46268</v>
      </c>
      <c r="C59" s="2" t="s">
        <v>15</v>
      </c>
      <c r="D59" s="2" t="s">
        <v>22</v>
      </c>
      <c r="E59" s="2" t="s">
        <v>28</v>
      </c>
      <c r="F59" s="2" t="s">
        <v>18</v>
      </c>
      <c r="G59" s="2" t="s">
        <v>78</v>
      </c>
      <c r="H59" s="2" t="n">
        <v>0.6</v>
      </c>
      <c r="I59" s="2" t="n">
        <v>16.5</v>
      </c>
      <c r="J59" s="2"/>
      <c r="K59" s="2"/>
      <c r="L59" s="3" t="n">
        <f aca="false">B59-WEEKDAY(B59,2)+1</f>
        <v>46265</v>
      </c>
      <c r="M59" s="4" t="n">
        <f aca="false">IFERROR(INDEX(02_Parâmetros!$B$14:$B$17,MATCH(C59,02_Parâmetros!$A$14:$A$17,0)),"")</f>
        <v>1</v>
      </c>
      <c r="N59" s="2" t="str">
        <f aca="false">IF(OR(H59="",M59=""),"",IF(H59&lt;=M59,"Sim","Não"))</f>
        <v>Sim</v>
      </c>
    </row>
    <row r="60" customFormat="false" ht="15" hidden="false" customHeight="false" outlineLevel="0" collapsed="false">
      <c r="A60" s="2" t="s">
        <v>97</v>
      </c>
      <c r="B60" s="3" t="n">
        <v>46268</v>
      </c>
      <c r="C60" s="2" t="s">
        <v>41</v>
      </c>
      <c r="D60" s="2" t="s">
        <v>16</v>
      </c>
      <c r="E60" s="2" t="s">
        <v>17</v>
      </c>
      <c r="F60" s="2" t="s">
        <v>18</v>
      </c>
      <c r="G60" s="2" t="s">
        <v>19</v>
      </c>
      <c r="H60" s="2" t="n">
        <v>237.8</v>
      </c>
      <c r="I60" s="2" t="n">
        <v>16.5</v>
      </c>
      <c r="J60" s="2" t="s">
        <v>20</v>
      </c>
      <c r="K60" s="2"/>
      <c r="L60" s="3" t="n">
        <f aca="false">B60-WEEKDAY(B60,2)+1</f>
        <v>46265</v>
      </c>
      <c r="M60" s="4" t="n">
        <f aca="false">IFERROR(INDEX(02_Parâmetros!$B$14:$B$17,MATCH(C60,02_Parâmetros!$A$14:$A$17,0)),"")</f>
        <v>240</v>
      </c>
      <c r="N60" s="2" t="str">
        <f aca="false">IF(OR(H60="",M60=""),"",IF(H60&lt;=M60,"Sim","Não"))</f>
        <v>Sim</v>
      </c>
    </row>
    <row r="61" customFormat="false" ht="15" hidden="false" customHeight="false" outlineLevel="0" collapsed="false">
      <c r="A61" s="2" t="s">
        <v>98</v>
      </c>
      <c r="B61" s="3" t="n">
        <v>46268</v>
      </c>
      <c r="C61" s="2" t="s">
        <v>27</v>
      </c>
      <c r="D61" s="2" t="s">
        <v>22</v>
      </c>
      <c r="E61" s="2" t="s">
        <v>28</v>
      </c>
      <c r="F61" s="2" t="s">
        <v>32</v>
      </c>
      <c r="G61" s="2" t="s">
        <v>19</v>
      </c>
      <c r="H61" s="2" t="n">
        <v>4.1</v>
      </c>
      <c r="I61" s="2" t="n">
        <v>7.3</v>
      </c>
      <c r="J61" s="2" t="s">
        <v>20</v>
      </c>
      <c r="K61" s="2"/>
      <c r="L61" s="3" t="n">
        <f aca="false">B61-WEEKDAY(B61,2)+1</f>
        <v>46265</v>
      </c>
      <c r="M61" s="4" t="n">
        <f aca="false">IFERROR(INDEX(02_Parâmetros!$B$14:$B$17,MATCH(C61,02_Parâmetros!$A$14:$A$17,0)),"")</f>
        <v>10</v>
      </c>
      <c r="N61" s="2" t="str">
        <f aca="false">IF(OR(H61="",M61=""),"",IF(H61&lt;=M61,"Sim","Não"))</f>
        <v>Sim</v>
      </c>
    </row>
    <row r="62" customFormat="false" ht="15" hidden="false" customHeight="false" outlineLevel="0" collapsed="false">
      <c r="A62" s="2" t="s">
        <v>99</v>
      </c>
      <c r="B62" s="3" t="n">
        <v>46268</v>
      </c>
      <c r="C62" s="2" t="s">
        <v>44</v>
      </c>
      <c r="D62" s="2" t="s">
        <v>22</v>
      </c>
      <c r="E62" s="2" t="s">
        <v>28</v>
      </c>
      <c r="F62" s="2" t="s">
        <v>24</v>
      </c>
      <c r="G62" s="2" t="s">
        <v>19</v>
      </c>
      <c r="H62" s="2" t="n">
        <v>1.6</v>
      </c>
      <c r="I62" s="2" t="n">
        <v>11.7</v>
      </c>
      <c r="J62" s="2" t="s">
        <v>25</v>
      </c>
      <c r="K62" s="2"/>
      <c r="L62" s="3" t="n">
        <f aca="false">B62-WEEKDAY(B62,2)+1</f>
        <v>46265</v>
      </c>
      <c r="M62" s="4" t="n">
        <f aca="false">IFERROR(INDEX(02_Parâmetros!$B$14:$B$17,MATCH(C62,02_Parâmetros!$A$14:$A$17,0)),"")</f>
        <v>2</v>
      </c>
      <c r="N62" s="2" t="str">
        <f aca="false">IF(OR(H62="",M62=""),"",IF(H62&lt;=M62,"Sim","Não"))</f>
        <v>Sim</v>
      </c>
    </row>
    <row r="63" customFormat="false" ht="15" hidden="false" customHeight="false" outlineLevel="0" collapsed="false">
      <c r="A63" s="2" t="s">
        <v>100</v>
      </c>
      <c r="B63" s="3" t="n">
        <v>46268</v>
      </c>
      <c r="C63" s="2" t="s">
        <v>44</v>
      </c>
      <c r="D63" s="2" t="s">
        <v>38</v>
      </c>
      <c r="E63" s="2" t="s">
        <v>56</v>
      </c>
      <c r="F63" s="2" t="s">
        <v>18</v>
      </c>
      <c r="G63" s="2" t="s">
        <v>19</v>
      </c>
      <c r="H63" s="2" t="n">
        <v>1.5</v>
      </c>
      <c r="I63" s="2" t="n">
        <v>8.5</v>
      </c>
      <c r="J63" s="2" t="s">
        <v>25</v>
      </c>
      <c r="K63" s="2" t="n">
        <v>3</v>
      </c>
      <c r="L63" s="3" t="n">
        <f aca="false">B63-WEEKDAY(B63,2)+1</f>
        <v>46265</v>
      </c>
      <c r="M63" s="4" t="n">
        <f aca="false">IFERROR(INDEX(02_Parâmetros!$B$14:$B$17,MATCH(C63,02_Parâmetros!$A$14:$A$17,0)),"")</f>
        <v>2</v>
      </c>
      <c r="N63" s="2" t="str">
        <f aca="false">IF(OR(H63="",M63=""),"",IF(H63&lt;=M63,"Sim","Não"))</f>
        <v>Sim</v>
      </c>
    </row>
    <row r="64" customFormat="false" ht="15" hidden="false" customHeight="false" outlineLevel="0" collapsed="false">
      <c r="A64" s="2" t="s">
        <v>101</v>
      </c>
      <c r="B64" s="3" t="n">
        <v>46268</v>
      </c>
      <c r="C64" s="2" t="s">
        <v>41</v>
      </c>
      <c r="D64" s="2" t="s">
        <v>38</v>
      </c>
      <c r="E64" s="2" t="s">
        <v>39</v>
      </c>
      <c r="F64" s="2" t="s">
        <v>34</v>
      </c>
      <c r="G64" s="2" t="s">
        <v>19</v>
      </c>
      <c r="H64" s="2" t="n">
        <v>88</v>
      </c>
      <c r="I64" s="2" t="n">
        <v>13.8</v>
      </c>
      <c r="J64" s="2" t="s">
        <v>20</v>
      </c>
      <c r="K64" s="2"/>
      <c r="L64" s="3" t="n">
        <f aca="false">B64-WEEKDAY(B64,2)+1</f>
        <v>46265</v>
      </c>
      <c r="M64" s="4" t="n">
        <f aca="false">IFERROR(INDEX(02_Parâmetros!$B$14:$B$17,MATCH(C64,02_Parâmetros!$A$14:$A$17,0)),"")</f>
        <v>240</v>
      </c>
      <c r="N64" s="2" t="str">
        <f aca="false">IF(OR(H64="",M64=""),"",IF(H64&lt;=M64,"Sim","Não"))</f>
        <v>Sim</v>
      </c>
    </row>
    <row r="65" customFormat="false" ht="15" hidden="false" customHeight="false" outlineLevel="0" collapsed="false">
      <c r="A65" s="2" t="s">
        <v>102</v>
      </c>
      <c r="B65" s="3" t="n">
        <v>46268</v>
      </c>
      <c r="C65" s="2" t="s">
        <v>15</v>
      </c>
      <c r="D65" s="2" t="s">
        <v>16</v>
      </c>
      <c r="E65" s="2" t="s">
        <v>36</v>
      </c>
      <c r="F65" s="2" t="s">
        <v>34</v>
      </c>
      <c r="G65" s="2" t="s">
        <v>19</v>
      </c>
      <c r="H65" s="2" t="n">
        <v>2.5</v>
      </c>
      <c r="I65" s="2" t="n">
        <v>6.9</v>
      </c>
      <c r="J65" s="2" t="s">
        <v>20</v>
      </c>
      <c r="K65" s="2"/>
      <c r="L65" s="3" t="n">
        <f aca="false">B65-WEEKDAY(B65,2)+1</f>
        <v>46265</v>
      </c>
      <c r="M65" s="4" t="n">
        <f aca="false">IFERROR(INDEX(02_Parâmetros!$B$14:$B$17,MATCH(C65,02_Parâmetros!$A$14:$A$17,0)),"")</f>
        <v>1</v>
      </c>
      <c r="N65" s="2" t="str">
        <f aca="false">IF(OR(H65="",M65=""),"",IF(H65&lt;=M65,"Sim","Não"))</f>
        <v>Não</v>
      </c>
    </row>
    <row r="66" customFormat="false" ht="15" hidden="false" customHeight="false" outlineLevel="0" collapsed="false">
      <c r="A66" s="2" t="s">
        <v>103</v>
      </c>
      <c r="B66" s="3" t="n">
        <v>46268</v>
      </c>
      <c r="C66" s="2" t="s">
        <v>27</v>
      </c>
      <c r="D66" s="2" t="s">
        <v>16</v>
      </c>
      <c r="E66" s="2" t="s">
        <v>17</v>
      </c>
      <c r="F66" s="2" t="s">
        <v>32</v>
      </c>
      <c r="G66" s="2" t="s">
        <v>19</v>
      </c>
      <c r="H66" s="2"/>
      <c r="I66" s="2" t="n">
        <v>4.8</v>
      </c>
      <c r="J66" s="2" t="s">
        <v>20</v>
      </c>
      <c r="K66" s="2"/>
      <c r="L66" s="3" t="n">
        <f aca="false">B66-WEEKDAY(B66,2)+1</f>
        <v>46265</v>
      </c>
      <c r="M66" s="4" t="n">
        <f aca="false">IFERROR(INDEX(02_Parâmetros!$B$14:$B$17,MATCH(C66,02_Parâmetros!$A$14:$A$17,0)),"")</f>
        <v>10</v>
      </c>
      <c r="N66" s="2" t="str">
        <f aca="false">IF(OR(H66="",M66=""),"",IF(H66&lt;=M66,"Sim","Não"))</f>
        <v/>
      </c>
    </row>
    <row r="67" customFormat="false" ht="15" hidden="false" customHeight="false" outlineLevel="0" collapsed="false">
      <c r="A67" s="2" t="s">
        <v>104</v>
      </c>
      <c r="B67" s="3" t="n">
        <v>46268</v>
      </c>
      <c r="C67" s="2" t="s">
        <v>15</v>
      </c>
      <c r="D67" s="2" t="s">
        <v>38</v>
      </c>
      <c r="E67" s="2" t="s">
        <v>39</v>
      </c>
      <c r="F67" s="2" t="s">
        <v>70</v>
      </c>
      <c r="G67" s="2" t="s">
        <v>19</v>
      </c>
      <c r="H67" s="2" t="n">
        <v>1</v>
      </c>
      <c r="I67" s="2" t="n">
        <v>10</v>
      </c>
      <c r="J67" s="2" t="s">
        <v>20</v>
      </c>
      <c r="K67" s="2"/>
      <c r="L67" s="3" t="n">
        <f aca="false">B67-WEEKDAY(B67,2)+1</f>
        <v>46265</v>
      </c>
      <c r="M67" s="4" t="n">
        <f aca="false">IFERROR(INDEX(02_Parâmetros!$B$14:$B$17,MATCH(C67,02_Parâmetros!$A$14:$A$17,0)),"")</f>
        <v>1</v>
      </c>
      <c r="N67" s="2" t="str">
        <f aca="false">IF(OR(H67="",M67=""),"",IF(H67&lt;=M67,"Sim","Não"))</f>
        <v>Sim</v>
      </c>
    </row>
    <row r="68" customFormat="false" ht="15" hidden="false" customHeight="false" outlineLevel="0" collapsed="false">
      <c r="A68" s="2" t="s">
        <v>105</v>
      </c>
      <c r="B68" s="3" t="n">
        <v>46268</v>
      </c>
      <c r="C68" s="2" t="s">
        <v>44</v>
      </c>
      <c r="D68" s="2" t="s">
        <v>16</v>
      </c>
      <c r="E68" s="2" t="s">
        <v>36</v>
      </c>
      <c r="F68" s="2" t="s">
        <v>18</v>
      </c>
      <c r="G68" s="2" t="s">
        <v>19</v>
      </c>
      <c r="H68" s="2" t="n">
        <v>0.7</v>
      </c>
      <c r="I68" s="2" t="n">
        <v>9.6</v>
      </c>
      <c r="J68" s="2" t="s">
        <v>20</v>
      </c>
      <c r="K68" s="2"/>
      <c r="L68" s="3" t="n">
        <f aca="false">B68-WEEKDAY(B68,2)+1</f>
        <v>46265</v>
      </c>
      <c r="M68" s="4" t="n">
        <f aca="false">IFERROR(INDEX(02_Parâmetros!$B$14:$B$17,MATCH(C68,02_Parâmetros!$A$14:$A$17,0)),"")</f>
        <v>2</v>
      </c>
      <c r="N68" s="2" t="str">
        <f aca="false">IF(OR(H68="",M68=""),"",IF(H68&lt;=M68,"Sim","Não"))</f>
        <v>Sim</v>
      </c>
    </row>
    <row r="69" customFormat="false" ht="15" hidden="false" customHeight="false" outlineLevel="0" collapsed="false">
      <c r="A69" s="2" t="s">
        <v>106</v>
      </c>
      <c r="B69" s="3" t="n">
        <v>46268</v>
      </c>
      <c r="C69" s="2" t="s">
        <v>15</v>
      </c>
      <c r="D69" s="2" t="s">
        <v>22</v>
      </c>
      <c r="E69" s="2" t="s">
        <v>23</v>
      </c>
      <c r="F69" s="2" t="s">
        <v>18</v>
      </c>
      <c r="G69" s="2" t="s">
        <v>19</v>
      </c>
      <c r="H69" s="2" t="n">
        <v>1.7</v>
      </c>
      <c r="I69" s="2" t="n">
        <v>13.8</v>
      </c>
      <c r="J69" s="2" t="s">
        <v>25</v>
      </c>
      <c r="K69" s="2"/>
      <c r="L69" s="3" t="n">
        <f aca="false">B69-WEEKDAY(B69,2)+1</f>
        <v>46265</v>
      </c>
      <c r="M69" s="4" t="n">
        <f aca="false">IFERROR(INDEX(02_Parâmetros!$B$14:$B$17,MATCH(C69,02_Parâmetros!$A$14:$A$17,0)),"")</f>
        <v>1</v>
      </c>
      <c r="N69" s="2" t="str">
        <f aca="false">IF(OR(H69="",M69=""),"",IF(H69&lt;=M69,"Sim","Não"))</f>
        <v>Não</v>
      </c>
    </row>
    <row r="70" customFormat="false" ht="15" hidden="false" customHeight="false" outlineLevel="0" collapsed="false">
      <c r="A70" s="2" t="s">
        <v>107</v>
      </c>
      <c r="B70" s="3" t="n">
        <v>46268</v>
      </c>
      <c r="C70" s="2" t="s">
        <v>27</v>
      </c>
      <c r="D70" s="2" t="s">
        <v>16</v>
      </c>
      <c r="E70" s="2" t="s">
        <v>31</v>
      </c>
      <c r="F70" s="2" t="s">
        <v>24</v>
      </c>
      <c r="G70" s="2" t="s">
        <v>19</v>
      </c>
      <c r="H70" s="2" t="n">
        <v>6.3</v>
      </c>
      <c r="I70" s="2" t="n">
        <v>8.9</v>
      </c>
      <c r="J70" s="2" t="s">
        <v>20</v>
      </c>
      <c r="K70" s="2" t="n">
        <v>4</v>
      </c>
      <c r="L70" s="3" t="n">
        <f aca="false">B70-WEEKDAY(B70,2)+1</f>
        <v>46265</v>
      </c>
      <c r="M70" s="4" t="n">
        <f aca="false">IFERROR(INDEX(02_Parâmetros!$B$14:$B$17,MATCH(C70,02_Parâmetros!$A$14:$A$17,0)),"")</f>
        <v>10</v>
      </c>
      <c r="N70" s="2" t="str">
        <f aca="false">IF(OR(H70="",M70=""),"",IF(H70&lt;=M70,"Sim","Não"))</f>
        <v>Sim</v>
      </c>
    </row>
    <row r="71" customFormat="false" ht="15" hidden="false" customHeight="false" outlineLevel="0" collapsed="false">
      <c r="A71" s="2" t="s">
        <v>108</v>
      </c>
      <c r="B71" s="3" t="n">
        <v>46268</v>
      </c>
      <c r="C71" s="2" t="s">
        <v>27</v>
      </c>
      <c r="D71" s="2" t="s">
        <v>38</v>
      </c>
      <c r="E71" s="2" t="s">
        <v>39</v>
      </c>
      <c r="F71" s="2" t="s">
        <v>24</v>
      </c>
      <c r="G71" s="2" t="s">
        <v>19</v>
      </c>
      <c r="H71" s="2" t="n">
        <v>3.2</v>
      </c>
      <c r="I71" s="2" t="n">
        <v>9.5</v>
      </c>
      <c r="J71" s="2" t="s">
        <v>20</v>
      </c>
      <c r="K71" s="2"/>
      <c r="L71" s="3" t="n">
        <f aca="false">B71-WEEKDAY(B71,2)+1</f>
        <v>46265</v>
      </c>
      <c r="M71" s="4" t="n">
        <f aca="false">IFERROR(INDEX(02_Parâmetros!$B$14:$B$17,MATCH(C71,02_Parâmetros!$A$14:$A$17,0)),"")</f>
        <v>10</v>
      </c>
      <c r="N71" s="2" t="str">
        <f aca="false">IF(OR(H71="",M71=""),"",IF(H71&lt;=M71,"Sim","Não"))</f>
        <v>Sim</v>
      </c>
    </row>
    <row r="72" customFormat="false" ht="15" hidden="false" customHeight="false" outlineLevel="0" collapsed="false">
      <c r="A72" s="2" t="s">
        <v>109</v>
      </c>
      <c r="B72" s="3" t="n">
        <v>46268</v>
      </c>
      <c r="C72" s="2" t="s">
        <v>15</v>
      </c>
      <c r="D72" s="2" t="s">
        <v>22</v>
      </c>
      <c r="E72" s="2" t="s">
        <v>23</v>
      </c>
      <c r="F72" s="2" t="s">
        <v>18</v>
      </c>
      <c r="G72" s="2" t="s">
        <v>19</v>
      </c>
      <c r="H72" s="2" t="n">
        <v>0.9</v>
      </c>
      <c r="I72" s="2" t="n">
        <v>17.9</v>
      </c>
      <c r="J72" s="2" t="s">
        <v>20</v>
      </c>
      <c r="K72" s="2"/>
      <c r="L72" s="3" t="n">
        <f aca="false">B72-WEEKDAY(B72,2)+1</f>
        <v>46265</v>
      </c>
      <c r="M72" s="4" t="n">
        <f aca="false">IFERROR(INDEX(02_Parâmetros!$B$14:$B$17,MATCH(C72,02_Parâmetros!$A$14:$A$17,0)),"")</f>
        <v>1</v>
      </c>
      <c r="N72" s="2" t="str">
        <f aca="false">IF(OR(H72="",M72=""),"",IF(H72&lt;=M72,"Sim","Não"))</f>
        <v>Sim</v>
      </c>
    </row>
    <row r="73" customFormat="false" ht="15" hidden="false" customHeight="false" outlineLevel="0" collapsed="false">
      <c r="A73" s="2" t="s">
        <v>110</v>
      </c>
      <c r="B73" s="3" t="n">
        <v>46268</v>
      </c>
      <c r="C73" s="2" t="s">
        <v>27</v>
      </c>
      <c r="D73" s="2" t="s">
        <v>16</v>
      </c>
      <c r="E73" s="2" t="s">
        <v>31</v>
      </c>
      <c r="F73" s="2" t="s">
        <v>18</v>
      </c>
      <c r="G73" s="2" t="s">
        <v>19</v>
      </c>
      <c r="H73" s="2" t="n">
        <v>7.9</v>
      </c>
      <c r="I73" s="2" t="n">
        <v>8.3</v>
      </c>
      <c r="J73" s="2" t="s">
        <v>20</v>
      </c>
      <c r="K73" s="2"/>
      <c r="L73" s="3" t="n">
        <f aca="false">B73-WEEKDAY(B73,2)+1</f>
        <v>46265</v>
      </c>
      <c r="M73" s="4" t="n">
        <f aca="false">IFERROR(INDEX(02_Parâmetros!$B$14:$B$17,MATCH(C73,02_Parâmetros!$A$14:$A$17,0)),"")</f>
        <v>10</v>
      </c>
      <c r="N73" s="2" t="str">
        <f aca="false">IF(OR(H73="",M73=""),"",IF(H73&lt;=M73,"Sim","Não"))</f>
        <v>Sim</v>
      </c>
    </row>
    <row r="74" customFormat="false" ht="15" hidden="false" customHeight="false" outlineLevel="0" collapsed="false">
      <c r="A74" s="2" t="s">
        <v>111</v>
      </c>
      <c r="B74" s="3" t="n">
        <v>46268</v>
      </c>
      <c r="C74" s="2" t="s">
        <v>15</v>
      </c>
      <c r="D74" s="2" t="s">
        <v>22</v>
      </c>
      <c r="E74" s="2" t="s">
        <v>28</v>
      </c>
      <c r="F74" s="2" t="s">
        <v>24</v>
      </c>
      <c r="G74" s="2" t="s">
        <v>19</v>
      </c>
      <c r="H74" s="2" t="n">
        <v>0.5</v>
      </c>
      <c r="I74" s="2" t="n">
        <v>17.3</v>
      </c>
      <c r="J74" s="2" t="s">
        <v>20</v>
      </c>
      <c r="K74" s="2"/>
      <c r="L74" s="3" t="n">
        <f aca="false">B74-WEEKDAY(B74,2)+1</f>
        <v>46265</v>
      </c>
      <c r="M74" s="4" t="n">
        <f aca="false">IFERROR(INDEX(02_Parâmetros!$B$14:$B$17,MATCH(C74,02_Parâmetros!$A$14:$A$17,0)),"")</f>
        <v>1</v>
      </c>
      <c r="N74" s="2" t="str">
        <f aca="false">IF(OR(H74="",M74=""),"",IF(H74&lt;=M74,"Sim","Não"))</f>
        <v>Sim</v>
      </c>
    </row>
    <row r="75" customFormat="false" ht="15" hidden="false" customHeight="false" outlineLevel="0" collapsed="false">
      <c r="A75" s="2" t="s">
        <v>112</v>
      </c>
      <c r="B75" s="3" t="n">
        <v>46268</v>
      </c>
      <c r="C75" s="2" t="s">
        <v>15</v>
      </c>
      <c r="D75" s="2" t="s">
        <v>16</v>
      </c>
      <c r="E75" s="2" t="s">
        <v>31</v>
      </c>
      <c r="F75" s="2" t="s">
        <v>32</v>
      </c>
      <c r="G75" s="2" t="s">
        <v>19</v>
      </c>
      <c r="H75" s="2" t="n">
        <v>1</v>
      </c>
      <c r="I75" s="2" t="n">
        <v>9.4</v>
      </c>
      <c r="J75" s="2" t="s">
        <v>20</v>
      </c>
      <c r="K75" s="2"/>
      <c r="L75" s="3" t="n">
        <f aca="false">B75-WEEKDAY(B75,2)+1</f>
        <v>46265</v>
      </c>
      <c r="M75" s="4" t="n">
        <f aca="false">IFERROR(INDEX(02_Parâmetros!$B$14:$B$17,MATCH(C75,02_Parâmetros!$A$14:$A$17,0)),"")</f>
        <v>1</v>
      </c>
      <c r="N75" s="2" t="str">
        <f aca="false">IF(OR(H75="",M75=""),"",IF(H75&lt;=M75,"Sim","Não"))</f>
        <v>Sim</v>
      </c>
    </row>
    <row r="76" customFormat="false" ht="15" hidden="false" customHeight="false" outlineLevel="0" collapsed="false">
      <c r="A76" s="2" t="s">
        <v>113</v>
      </c>
      <c r="B76" s="3" t="n">
        <v>46268</v>
      </c>
      <c r="C76" s="2" t="s">
        <v>27</v>
      </c>
      <c r="D76" s="2" t="s">
        <v>22</v>
      </c>
      <c r="E76" s="2" t="s">
        <v>23</v>
      </c>
      <c r="F76" s="2" t="s">
        <v>18</v>
      </c>
      <c r="G76" s="2" t="s">
        <v>19</v>
      </c>
      <c r="H76" s="2" t="n">
        <v>6.2</v>
      </c>
      <c r="I76" s="2" t="n">
        <v>6.4</v>
      </c>
      <c r="J76" s="2" t="s">
        <v>20</v>
      </c>
      <c r="K76" s="2" t="n">
        <v>2</v>
      </c>
      <c r="L76" s="3" t="n">
        <f aca="false">B76-WEEKDAY(B76,2)+1</f>
        <v>46265</v>
      </c>
      <c r="M76" s="4" t="n">
        <f aca="false">IFERROR(INDEX(02_Parâmetros!$B$14:$B$17,MATCH(C76,02_Parâmetros!$A$14:$A$17,0)),"")</f>
        <v>10</v>
      </c>
      <c r="N76" s="2" t="str">
        <f aca="false">IF(OR(H76="",M76=""),"",IF(H76&lt;=M76,"Sim","Não"))</f>
        <v>Sim</v>
      </c>
    </row>
    <row r="77" customFormat="false" ht="15" hidden="false" customHeight="false" outlineLevel="0" collapsed="false">
      <c r="A77" s="2" t="s">
        <v>114</v>
      </c>
      <c r="B77" s="3" t="n">
        <v>46268</v>
      </c>
      <c r="C77" s="2" t="s">
        <v>44</v>
      </c>
      <c r="D77" s="2" t="s">
        <v>22</v>
      </c>
      <c r="E77" s="2" t="s">
        <v>28</v>
      </c>
      <c r="F77" s="2" t="s">
        <v>42</v>
      </c>
      <c r="G77" s="2" t="s">
        <v>19</v>
      </c>
      <c r="H77" s="2" t="n">
        <v>2.9</v>
      </c>
      <c r="I77" s="2" t="n">
        <v>8.2</v>
      </c>
      <c r="J77" s="2" t="s">
        <v>25</v>
      </c>
      <c r="K77" s="2"/>
      <c r="L77" s="3" t="n">
        <f aca="false">B77-WEEKDAY(B77,2)+1</f>
        <v>46265</v>
      </c>
      <c r="M77" s="4" t="n">
        <f aca="false">IFERROR(INDEX(02_Parâmetros!$B$14:$B$17,MATCH(C77,02_Parâmetros!$A$14:$A$17,0)),"")</f>
        <v>2</v>
      </c>
      <c r="N77" s="2" t="str">
        <f aca="false">IF(OR(H77="",M77=""),"",IF(H77&lt;=M77,"Sim","Não"))</f>
        <v>Não</v>
      </c>
    </row>
    <row r="78" customFormat="false" ht="15" hidden="false" customHeight="false" outlineLevel="0" collapsed="false">
      <c r="A78" s="2" t="s">
        <v>115</v>
      </c>
      <c r="B78" s="3" t="n">
        <v>46268</v>
      </c>
      <c r="C78" s="2" t="s">
        <v>41</v>
      </c>
      <c r="D78" s="2" t="s">
        <v>22</v>
      </c>
      <c r="E78" s="2" t="s">
        <v>23</v>
      </c>
      <c r="F78" s="2" t="s">
        <v>34</v>
      </c>
      <c r="G78" s="2" t="s">
        <v>19</v>
      </c>
      <c r="H78" s="2" t="n">
        <v>84.8</v>
      </c>
      <c r="I78" s="2" t="n">
        <v>11</v>
      </c>
      <c r="J78" s="2" t="s">
        <v>20</v>
      </c>
      <c r="K78" s="2"/>
      <c r="L78" s="3" t="n">
        <f aca="false">B78-WEEKDAY(B78,2)+1</f>
        <v>46265</v>
      </c>
      <c r="M78" s="4" t="n">
        <f aca="false">IFERROR(INDEX(02_Parâmetros!$B$14:$B$17,MATCH(C78,02_Parâmetros!$A$14:$A$17,0)),"")</f>
        <v>240</v>
      </c>
      <c r="N78" s="2" t="str">
        <f aca="false">IF(OR(H78="",M78=""),"",IF(H78&lt;=M78,"Sim","Não"))</f>
        <v>Sim</v>
      </c>
    </row>
    <row r="79" customFormat="false" ht="15" hidden="false" customHeight="false" outlineLevel="0" collapsed="false">
      <c r="A79" s="2" t="s">
        <v>116</v>
      </c>
      <c r="B79" s="3" t="n">
        <v>46268</v>
      </c>
      <c r="C79" s="2" t="s">
        <v>44</v>
      </c>
      <c r="D79" s="2" t="s">
        <v>16</v>
      </c>
      <c r="E79" s="2" t="s">
        <v>31</v>
      </c>
      <c r="F79" s="2" t="s">
        <v>18</v>
      </c>
      <c r="G79" s="2" t="s">
        <v>19</v>
      </c>
      <c r="H79" s="2" t="n">
        <v>1.4</v>
      </c>
      <c r="I79" s="2" t="n">
        <v>8.8</v>
      </c>
      <c r="J79" s="2" t="s">
        <v>25</v>
      </c>
      <c r="K79" s="2"/>
      <c r="L79" s="3" t="n">
        <f aca="false">B79-WEEKDAY(B79,2)+1</f>
        <v>46265</v>
      </c>
      <c r="M79" s="4" t="n">
        <f aca="false">IFERROR(INDEX(02_Parâmetros!$B$14:$B$17,MATCH(C79,02_Parâmetros!$A$14:$A$17,0)),"")</f>
        <v>2</v>
      </c>
      <c r="N79" s="2" t="str">
        <f aca="false">IF(OR(H79="",M79=""),"",IF(H79&lt;=M79,"Sim","Não"))</f>
        <v>Sim</v>
      </c>
    </row>
    <row r="80" customFormat="false" ht="15" hidden="false" customHeight="false" outlineLevel="0" collapsed="false">
      <c r="A80" s="2" t="s">
        <v>117</v>
      </c>
      <c r="B80" s="3" t="n">
        <v>46268</v>
      </c>
      <c r="C80" s="2" t="s">
        <v>44</v>
      </c>
      <c r="D80" s="2" t="s">
        <v>16</v>
      </c>
      <c r="E80" s="2" t="s">
        <v>17</v>
      </c>
      <c r="F80" s="2" t="s">
        <v>42</v>
      </c>
      <c r="G80" s="2" t="s">
        <v>19</v>
      </c>
      <c r="H80" s="2" t="n">
        <v>0.8</v>
      </c>
      <c r="I80" s="2" t="n">
        <v>10.3</v>
      </c>
      <c r="J80" s="2" t="s">
        <v>20</v>
      </c>
      <c r="K80" s="2" t="n">
        <v>1</v>
      </c>
      <c r="L80" s="3" t="n">
        <f aca="false">B80-WEEKDAY(B80,2)+1</f>
        <v>46265</v>
      </c>
      <c r="M80" s="4" t="n">
        <f aca="false">IFERROR(INDEX(02_Parâmetros!$B$14:$B$17,MATCH(C80,02_Parâmetros!$A$14:$A$17,0)),"")</f>
        <v>2</v>
      </c>
      <c r="N80" s="2" t="str">
        <f aca="false">IF(OR(H80="",M80=""),"",IF(H80&lt;=M80,"Sim","Não"))</f>
        <v>Sim</v>
      </c>
    </row>
    <row r="81" customFormat="false" ht="15" hidden="false" customHeight="false" outlineLevel="0" collapsed="false">
      <c r="A81" s="2" t="s">
        <v>118</v>
      </c>
      <c r="B81" s="3" t="n">
        <v>46268</v>
      </c>
      <c r="C81" s="2" t="s">
        <v>27</v>
      </c>
      <c r="D81" s="2" t="s">
        <v>38</v>
      </c>
      <c r="E81" s="2" t="s">
        <v>39</v>
      </c>
      <c r="F81" s="2" t="s">
        <v>32</v>
      </c>
      <c r="G81" s="2" t="s">
        <v>19</v>
      </c>
      <c r="H81" s="2" t="n">
        <v>7.9</v>
      </c>
      <c r="I81" s="2" t="n">
        <v>9</v>
      </c>
      <c r="J81" s="2" t="s">
        <v>20</v>
      </c>
      <c r="K81" s="2"/>
      <c r="L81" s="3" t="n">
        <f aca="false">B81-WEEKDAY(B81,2)+1</f>
        <v>46265</v>
      </c>
      <c r="M81" s="4" t="n">
        <f aca="false">IFERROR(INDEX(02_Parâmetros!$B$14:$B$17,MATCH(C81,02_Parâmetros!$A$14:$A$17,0)),"")</f>
        <v>10</v>
      </c>
      <c r="N81" s="2" t="str">
        <f aca="false">IF(OR(H81="",M81=""),"",IF(H81&lt;=M81,"Sim","Não"))</f>
        <v>Sim</v>
      </c>
    </row>
    <row r="82" customFormat="false" ht="15" hidden="false" customHeight="false" outlineLevel="0" collapsed="false">
      <c r="A82" s="2" t="s">
        <v>119</v>
      </c>
      <c r="B82" s="3" t="n">
        <v>46269</v>
      </c>
      <c r="C82" s="2" t="s">
        <v>41</v>
      </c>
      <c r="D82" s="2" t="s">
        <v>16</v>
      </c>
      <c r="E82" s="2" t="s">
        <v>17</v>
      </c>
      <c r="F82" s="2" t="s">
        <v>42</v>
      </c>
      <c r="G82" s="2" t="s">
        <v>19</v>
      </c>
      <c r="H82" s="2" t="n">
        <v>90.9</v>
      </c>
      <c r="I82" s="2" t="n">
        <v>12.3</v>
      </c>
      <c r="J82" s="2" t="s">
        <v>25</v>
      </c>
      <c r="K82" s="2" t="n">
        <v>1</v>
      </c>
      <c r="L82" s="3" t="n">
        <f aca="false">B82-WEEKDAY(B82,2)+1</f>
        <v>46265</v>
      </c>
      <c r="M82" s="4" t="n">
        <f aca="false">IFERROR(INDEX(02_Parâmetros!$B$14:$B$17,MATCH(C82,02_Parâmetros!$A$14:$A$17,0)),"")</f>
        <v>240</v>
      </c>
      <c r="N82" s="2" t="str">
        <f aca="false">IF(OR(H82="",M82=""),"",IF(H82&lt;=M82,"Sim","Não"))</f>
        <v>Sim</v>
      </c>
    </row>
    <row r="83" customFormat="false" ht="15" hidden="false" customHeight="false" outlineLevel="0" collapsed="false">
      <c r="A83" s="2" t="s">
        <v>120</v>
      </c>
      <c r="B83" s="3" t="n">
        <v>46269</v>
      </c>
      <c r="C83" s="2" t="s">
        <v>15</v>
      </c>
      <c r="D83" s="2" t="s">
        <v>16</v>
      </c>
      <c r="E83" s="2" t="s">
        <v>36</v>
      </c>
      <c r="F83" s="2" t="s">
        <v>42</v>
      </c>
      <c r="G83" s="2" t="s">
        <v>19</v>
      </c>
      <c r="H83" s="2" t="n">
        <v>0.3</v>
      </c>
      <c r="I83" s="2" t="n">
        <v>10.5</v>
      </c>
      <c r="J83" s="2" t="s">
        <v>20</v>
      </c>
      <c r="K83" s="2" t="n">
        <v>4</v>
      </c>
      <c r="L83" s="3" t="n">
        <f aca="false">B83-WEEKDAY(B83,2)+1</f>
        <v>46265</v>
      </c>
      <c r="M83" s="4" t="n">
        <f aca="false">IFERROR(INDEX(02_Parâmetros!$B$14:$B$17,MATCH(C83,02_Parâmetros!$A$14:$A$17,0)),"")</f>
        <v>1</v>
      </c>
      <c r="N83" s="2" t="str">
        <f aca="false">IF(OR(H83="",M83=""),"",IF(H83&lt;=M83,"Sim","Não"))</f>
        <v>Sim</v>
      </c>
    </row>
    <row r="84" customFormat="false" ht="15" hidden="false" customHeight="false" outlineLevel="0" collapsed="false">
      <c r="A84" s="2" t="s">
        <v>121</v>
      </c>
      <c r="B84" s="3" t="n">
        <v>46269</v>
      </c>
      <c r="C84" s="2" t="s">
        <v>27</v>
      </c>
      <c r="D84" s="2" t="s">
        <v>38</v>
      </c>
      <c r="E84" s="2" t="s">
        <v>47</v>
      </c>
      <c r="F84" s="2" t="s">
        <v>18</v>
      </c>
      <c r="G84" s="2" t="s">
        <v>19</v>
      </c>
      <c r="H84" s="2" t="n">
        <v>6.7</v>
      </c>
      <c r="I84" s="2" t="n">
        <v>8.2</v>
      </c>
      <c r="J84" s="2" t="s">
        <v>25</v>
      </c>
      <c r="K84" s="2" t="n">
        <v>4</v>
      </c>
      <c r="L84" s="3" t="n">
        <f aca="false">B84-WEEKDAY(B84,2)+1</f>
        <v>46265</v>
      </c>
      <c r="M84" s="4" t="n">
        <f aca="false">IFERROR(INDEX(02_Parâmetros!$B$14:$B$17,MATCH(C84,02_Parâmetros!$A$14:$A$17,0)),"")</f>
        <v>10</v>
      </c>
      <c r="N84" s="2" t="str">
        <f aca="false">IF(OR(H84="",M84=""),"",IF(H84&lt;=M84,"Sim","Não"))</f>
        <v>Sim</v>
      </c>
    </row>
    <row r="85" customFormat="false" ht="15" hidden="false" customHeight="false" outlineLevel="0" collapsed="false">
      <c r="A85" s="2" t="s">
        <v>122</v>
      </c>
      <c r="B85" s="3" t="n">
        <v>46269</v>
      </c>
      <c r="C85" s="2" t="s">
        <v>41</v>
      </c>
      <c r="D85" s="2" t="s">
        <v>16</v>
      </c>
      <c r="E85" s="2" t="s">
        <v>31</v>
      </c>
      <c r="F85" s="2" t="s">
        <v>42</v>
      </c>
      <c r="G85" s="2" t="s">
        <v>19</v>
      </c>
      <c r="H85" s="2" t="n">
        <v>210</v>
      </c>
      <c r="I85" s="2" t="n">
        <v>10.5</v>
      </c>
      <c r="J85" s="2" t="s">
        <v>20</v>
      </c>
      <c r="K85" s="2"/>
      <c r="L85" s="3" t="n">
        <f aca="false">B85-WEEKDAY(B85,2)+1</f>
        <v>46265</v>
      </c>
      <c r="M85" s="4" t="n">
        <f aca="false">IFERROR(INDEX(02_Parâmetros!$B$14:$B$17,MATCH(C85,02_Parâmetros!$A$14:$A$17,0)),"")</f>
        <v>240</v>
      </c>
      <c r="N85" s="2" t="str">
        <f aca="false">IF(OR(H85="",M85=""),"",IF(H85&lt;=M85,"Sim","Não"))</f>
        <v>Sim</v>
      </c>
    </row>
    <row r="86" customFormat="false" ht="15" hidden="false" customHeight="false" outlineLevel="0" collapsed="false">
      <c r="A86" s="2" t="s">
        <v>123</v>
      </c>
      <c r="B86" s="3" t="n">
        <v>46269</v>
      </c>
      <c r="C86" s="2" t="s">
        <v>44</v>
      </c>
      <c r="D86" s="2" t="s">
        <v>22</v>
      </c>
      <c r="E86" s="2" t="s">
        <v>23</v>
      </c>
      <c r="F86" s="2" t="s">
        <v>70</v>
      </c>
      <c r="G86" s="2" t="s">
        <v>19</v>
      </c>
      <c r="H86" s="2" t="n">
        <v>1.7</v>
      </c>
      <c r="I86" s="2" t="n">
        <v>9.2</v>
      </c>
      <c r="J86" s="2" t="s">
        <v>20</v>
      </c>
      <c r="K86" s="2"/>
      <c r="L86" s="3" t="n">
        <f aca="false">B86-WEEKDAY(B86,2)+1</f>
        <v>46265</v>
      </c>
      <c r="M86" s="4" t="n">
        <f aca="false">IFERROR(INDEX(02_Parâmetros!$B$14:$B$17,MATCH(C86,02_Parâmetros!$A$14:$A$17,0)),"")</f>
        <v>2</v>
      </c>
      <c r="N86" s="2" t="str">
        <f aca="false">IF(OR(H86="",M86=""),"",IF(H86&lt;=M86,"Sim","Não"))</f>
        <v>Sim</v>
      </c>
    </row>
    <row r="87" customFormat="false" ht="15" hidden="false" customHeight="false" outlineLevel="0" collapsed="false">
      <c r="A87" s="2" t="s">
        <v>124</v>
      </c>
      <c r="B87" s="3" t="n">
        <v>46269</v>
      </c>
      <c r="C87" s="2" t="s">
        <v>15</v>
      </c>
      <c r="D87" s="2" t="s">
        <v>22</v>
      </c>
      <c r="E87" s="2" t="s">
        <v>28</v>
      </c>
      <c r="F87" s="2" t="s">
        <v>70</v>
      </c>
      <c r="G87" s="2" t="s">
        <v>19</v>
      </c>
      <c r="H87" s="2" t="n">
        <v>0.7</v>
      </c>
      <c r="I87" s="2" t="n">
        <v>8.6</v>
      </c>
      <c r="J87" s="2" t="s">
        <v>20</v>
      </c>
      <c r="K87" s="2" t="n">
        <v>5</v>
      </c>
      <c r="L87" s="3" t="n">
        <f aca="false">B87-WEEKDAY(B87,2)+1</f>
        <v>46265</v>
      </c>
      <c r="M87" s="4" t="n">
        <f aca="false">IFERROR(INDEX(02_Parâmetros!$B$14:$B$17,MATCH(C87,02_Parâmetros!$A$14:$A$17,0)),"")</f>
        <v>1</v>
      </c>
      <c r="N87" s="2" t="str">
        <f aca="false">IF(OR(H87="",M87=""),"",IF(H87&lt;=M87,"Sim","Não"))</f>
        <v>Sim</v>
      </c>
    </row>
    <row r="88" customFormat="false" ht="15" hidden="false" customHeight="false" outlineLevel="0" collapsed="false">
      <c r="A88" s="2" t="s">
        <v>125</v>
      </c>
      <c r="B88" s="3" t="n">
        <v>46269</v>
      </c>
      <c r="C88" s="2" t="s">
        <v>27</v>
      </c>
      <c r="D88" s="2" t="s">
        <v>38</v>
      </c>
      <c r="E88" s="2" t="s">
        <v>39</v>
      </c>
      <c r="F88" s="2" t="s">
        <v>42</v>
      </c>
      <c r="G88" s="2" t="s">
        <v>19</v>
      </c>
      <c r="H88" s="2" t="n">
        <v>3.7</v>
      </c>
      <c r="I88" s="2" t="n">
        <v>5.2</v>
      </c>
      <c r="J88" s="2" t="s">
        <v>20</v>
      </c>
      <c r="K88" s="2"/>
      <c r="L88" s="3" t="n">
        <f aca="false">B88-WEEKDAY(B88,2)+1</f>
        <v>46265</v>
      </c>
      <c r="M88" s="4" t="n">
        <f aca="false">IFERROR(INDEX(02_Parâmetros!$B$14:$B$17,MATCH(C88,02_Parâmetros!$A$14:$A$17,0)),"")</f>
        <v>10</v>
      </c>
      <c r="N88" s="2" t="str">
        <f aca="false">IF(OR(H88="",M88=""),"",IF(H88&lt;=M88,"Sim","Não"))</f>
        <v>Sim</v>
      </c>
    </row>
    <row r="89" customFormat="false" ht="15" hidden="false" customHeight="false" outlineLevel="0" collapsed="false">
      <c r="A89" s="2" t="s">
        <v>126</v>
      </c>
      <c r="B89" s="3" t="n">
        <v>46269</v>
      </c>
      <c r="C89" s="2" t="s">
        <v>15</v>
      </c>
      <c r="D89" s="2" t="s">
        <v>16</v>
      </c>
      <c r="E89" s="2" t="s">
        <v>31</v>
      </c>
      <c r="F89" s="2" t="s">
        <v>18</v>
      </c>
      <c r="G89" s="2" t="s">
        <v>19</v>
      </c>
      <c r="H89" s="2" t="n">
        <v>0.6</v>
      </c>
      <c r="I89" s="2" t="n">
        <v>18.1</v>
      </c>
      <c r="J89" s="2" t="s">
        <v>25</v>
      </c>
      <c r="K89" s="2"/>
      <c r="L89" s="3" t="n">
        <f aca="false">B89-WEEKDAY(B89,2)+1</f>
        <v>46265</v>
      </c>
      <c r="M89" s="4" t="n">
        <f aca="false">IFERROR(INDEX(02_Parâmetros!$B$14:$B$17,MATCH(C89,02_Parâmetros!$A$14:$A$17,0)),"")</f>
        <v>1</v>
      </c>
      <c r="N89" s="2" t="str">
        <f aca="false">IF(OR(H89="",M89=""),"",IF(H89&lt;=M89,"Sim","Não"))</f>
        <v>Sim</v>
      </c>
    </row>
    <row r="90" customFormat="false" ht="15" hidden="false" customHeight="false" outlineLevel="0" collapsed="false">
      <c r="A90" s="2" t="s">
        <v>127</v>
      </c>
      <c r="B90" s="3" t="n">
        <v>46269</v>
      </c>
      <c r="C90" s="2" t="s">
        <v>44</v>
      </c>
      <c r="D90" s="2" t="s">
        <v>38</v>
      </c>
      <c r="E90" s="2" t="s">
        <v>39</v>
      </c>
      <c r="F90" s="2" t="s">
        <v>32</v>
      </c>
      <c r="G90" s="2" t="s">
        <v>19</v>
      </c>
      <c r="H90" s="2" t="n">
        <v>3.3</v>
      </c>
      <c r="I90" s="2" t="n">
        <v>5.8</v>
      </c>
      <c r="J90" s="2" t="s">
        <v>20</v>
      </c>
      <c r="K90" s="2"/>
      <c r="L90" s="3" t="n">
        <f aca="false">B90-WEEKDAY(B90,2)+1</f>
        <v>46265</v>
      </c>
      <c r="M90" s="4" t="n">
        <f aca="false">IFERROR(INDEX(02_Parâmetros!$B$14:$B$17,MATCH(C90,02_Parâmetros!$A$14:$A$17,0)),"")</f>
        <v>2</v>
      </c>
      <c r="N90" s="2" t="str">
        <f aca="false">IF(OR(H90="",M90=""),"",IF(H90&lt;=M90,"Sim","Não"))</f>
        <v>Não</v>
      </c>
    </row>
    <row r="91" customFormat="false" ht="15" hidden="false" customHeight="false" outlineLevel="0" collapsed="false">
      <c r="A91" s="2" t="s">
        <v>128</v>
      </c>
      <c r="B91" s="3" t="n">
        <v>46269</v>
      </c>
      <c r="C91" s="2" t="s">
        <v>44</v>
      </c>
      <c r="D91" s="2" t="s">
        <v>16</v>
      </c>
      <c r="E91" s="2" t="s">
        <v>31</v>
      </c>
      <c r="F91" s="2" t="s">
        <v>34</v>
      </c>
      <c r="G91" s="2" t="s">
        <v>19</v>
      </c>
      <c r="H91" s="2" t="n">
        <v>1.1</v>
      </c>
      <c r="I91" s="2" t="n">
        <v>4.6</v>
      </c>
      <c r="J91" s="2" t="s">
        <v>20</v>
      </c>
      <c r="K91" s="2"/>
      <c r="L91" s="3" t="n">
        <f aca="false">B91-WEEKDAY(B91,2)+1</f>
        <v>46265</v>
      </c>
      <c r="M91" s="4" t="n">
        <f aca="false">IFERROR(INDEX(02_Parâmetros!$B$14:$B$17,MATCH(C91,02_Parâmetros!$A$14:$A$17,0)),"")</f>
        <v>2</v>
      </c>
      <c r="N91" s="2" t="str">
        <f aca="false">IF(OR(H91="",M91=""),"",IF(H91&lt;=M91,"Sim","Não"))</f>
        <v>Sim</v>
      </c>
    </row>
    <row r="92" customFormat="false" ht="15" hidden="false" customHeight="false" outlineLevel="0" collapsed="false">
      <c r="A92" s="2" t="s">
        <v>129</v>
      </c>
      <c r="B92" s="3" t="n">
        <v>46269</v>
      </c>
      <c r="C92" s="2" t="s">
        <v>27</v>
      </c>
      <c r="D92" s="2" t="s">
        <v>38</v>
      </c>
      <c r="E92" s="2" t="s">
        <v>56</v>
      </c>
      <c r="F92" s="2" t="s">
        <v>24</v>
      </c>
      <c r="G92" s="2" t="s">
        <v>19</v>
      </c>
      <c r="H92" s="2" t="n">
        <v>4.6</v>
      </c>
      <c r="I92" s="2" t="n">
        <v>8.6</v>
      </c>
      <c r="J92" s="2" t="s">
        <v>20</v>
      </c>
      <c r="K92" s="2" t="n">
        <v>5</v>
      </c>
      <c r="L92" s="3" t="n">
        <f aca="false">B92-WEEKDAY(B92,2)+1</f>
        <v>46265</v>
      </c>
      <c r="M92" s="4" t="n">
        <f aca="false">IFERROR(INDEX(02_Parâmetros!$B$14:$B$17,MATCH(C92,02_Parâmetros!$A$14:$A$17,0)),"")</f>
        <v>10</v>
      </c>
      <c r="N92" s="2" t="str">
        <f aca="false">IF(OR(H92="",M92=""),"",IF(H92&lt;=M92,"Sim","Não"))</f>
        <v>Sim</v>
      </c>
    </row>
    <row r="93" customFormat="false" ht="15" hidden="false" customHeight="false" outlineLevel="0" collapsed="false">
      <c r="A93" s="2" t="s">
        <v>130</v>
      </c>
      <c r="B93" s="3" t="n">
        <v>46269</v>
      </c>
      <c r="C93" s="2" t="s">
        <v>27</v>
      </c>
      <c r="D93" s="2" t="s">
        <v>38</v>
      </c>
      <c r="E93" s="2" t="s">
        <v>39</v>
      </c>
      <c r="F93" s="2" t="s">
        <v>18</v>
      </c>
      <c r="G93" s="2" t="s">
        <v>19</v>
      </c>
      <c r="H93" s="2"/>
      <c r="I93" s="2" t="n">
        <v>10.9</v>
      </c>
      <c r="J93" s="2" t="s">
        <v>20</v>
      </c>
      <c r="K93" s="2"/>
      <c r="L93" s="3" t="n">
        <f aca="false">B93-WEEKDAY(B93,2)+1</f>
        <v>46265</v>
      </c>
      <c r="M93" s="4" t="n">
        <f aca="false">IFERROR(INDEX(02_Parâmetros!$B$14:$B$17,MATCH(C93,02_Parâmetros!$A$14:$A$17,0)),"")</f>
        <v>10</v>
      </c>
      <c r="N93" s="2" t="str">
        <f aca="false">IF(OR(H93="",M93=""),"",IF(H93&lt;=M93,"Sim","Não"))</f>
        <v/>
      </c>
    </row>
    <row r="94" customFormat="false" ht="15" hidden="false" customHeight="false" outlineLevel="0" collapsed="false">
      <c r="A94" s="2" t="s">
        <v>131</v>
      </c>
      <c r="B94" s="3" t="n">
        <v>46269</v>
      </c>
      <c r="C94" s="2" t="s">
        <v>41</v>
      </c>
      <c r="D94" s="2" t="s">
        <v>16</v>
      </c>
      <c r="E94" s="2" t="s">
        <v>31</v>
      </c>
      <c r="F94" s="2" t="s">
        <v>24</v>
      </c>
      <c r="G94" s="2" t="s">
        <v>19</v>
      </c>
      <c r="H94" s="2" t="n">
        <v>101.4</v>
      </c>
      <c r="I94" s="2" t="n">
        <v>10.2</v>
      </c>
      <c r="J94" s="2" t="s">
        <v>25</v>
      </c>
      <c r="K94" s="2" t="n">
        <v>5</v>
      </c>
      <c r="L94" s="3" t="n">
        <f aca="false">B94-WEEKDAY(B94,2)+1</f>
        <v>46265</v>
      </c>
      <c r="M94" s="4" t="n">
        <f aca="false">IFERROR(INDEX(02_Parâmetros!$B$14:$B$17,MATCH(C94,02_Parâmetros!$A$14:$A$17,0)),"")</f>
        <v>240</v>
      </c>
      <c r="N94" s="2" t="str">
        <f aca="false">IF(OR(H94="",M94=""),"",IF(H94&lt;=M94,"Sim","Não"))</f>
        <v>Sim</v>
      </c>
    </row>
    <row r="95" customFormat="false" ht="15" hidden="false" customHeight="false" outlineLevel="0" collapsed="false">
      <c r="A95" s="2" t="s">
        <v>132</v>
      </c>
      <c r="B95" s="3" t="n">
        <v>46269</v>
      </c>
      <c r="C95" s="2" t="s">
        <v>27</v>
      </c>
      <c r="D95" s="2" t="s">
        <v>16</v>
      </c>
      <c r="E95" s="2" t="s">
        <v>31</v>
      </c>
      <c r="F95" s="2" t="s">
        <v>32</v>
      </c>
      <c r="G95" s="2" t="s">
        <v>19</v>
      </c>
      <c r="H95" s="2" t="n">
        <v>4.1</v>
      </c>
      <c r="I95" s="2" t="n">
        <v>8.3</v>
      </c>
      <c r="J95" s="2" t="s">
        <v>20</v>
      </c>
      <c r="K95" s="2"/>
      <c r="L95" s="3" t="n">
        <f aca="false">B95-WEEKDAY(B95,2)+1</f>
        <v>46265</v>
      </c>
      <c r="M95" s="4" t="n">
        <f aca="false">IFERROR(INDEX(02_Parâmetros!$B$14:$B$17,MATCH(C95,02_Parâmetros!$A$14:$A$17,0)),"")</f>
        <v>10</v>
      </c>
      <c r="N95" s="2" t="str">
        <f aca="false">IF(OR(H95="",M95=""),"",IF(H95&lt;=M95,"Sim","Não"))</f>
        <v>Sim</v>
      </c>
    </row>
    <row r="96" customFormat="false" ht="15" hidden="false" customHeight="false" outlineLevel="0" collapsed="false">
      <c r="A96" s="2" t="s">
        <v>133</v>
      </c>
      <c r="B96" s="3" t="n">
        <v>46269</v>
      </c>
      <c r="C96" s="2" t="s">
        <v>15</v>
      </c>
      <c r="D96" s="2" t="s">
        <v>38</v>
      </c>
      <c r="E96" s="2" t="s">
        <v>47</v>
      </c>
      <c r="F96" s="2" t="s">
        <v>34</v>
      </c>
      <c r="G96" s="2" t="s">
        <v>19</v>
      </c>
      <c r="H96" s="2" t="n">
        <v>0.3</v>
      </c>
      <c r="I96" s="2" t="n">
        <v>10.1</v>
      </c>
      <c r="J96" s="2" t="s">
        <v>20</v>
      </c>
      <c r="K96" s="2"/>
      <c r="L96" s="3" t="n">
        <f aca="false">B96-WEEKDAY(B96,2)+1</f>
        <v>46265</v>
      </c>
      <c r="M96" s="4" t="n">
        <f aca="false">IFERROR(INDEX(02_Parâmetros!$B$14:$B$17,MATCH(C96,02_Parâmetros!$A$14:$A$17,0)),"")</f>
        <v>1</v>
      </c>
      <c r="N96" s="2" t="str">
        <f aca="false">IF(OR(H96="",M96=""),"",IF(H96&lt;=M96,"Sim","Não"))</f>
        <v>Sim</v>
      </c>
    </row>
    <row r="97" customFormat="false" ht="15" hidden="false" customHeight="false" outlineLevel="0" collapsed="false">
      <c r="A97" s="2" t="s">
        <v>134</v>
      </c>
      <c r="B97" s="3" t="n">
        <v>46269</v>
      </c>
      <c r="C97" s="2" t="s">
        <v>44</v>
      </c>
      <c r="D97" s="2" t="s">
        <v>38</v>
      </c>
      <c r="E97" s="2" t="s">
        <v>47</v>
      </c>
      <c r="F97" s="2" t="s">
        <v>70</v>
      </c>
      <c r="G97" s="2" t="s">
        <v>19</v>
      </c>
      <c r="H97" s="2" t="n">
        <v>3</v>
      </c>
      <c r="I97" s="2" t="n">
        <v>8.2</v>
      </c>
      <c r="J97" s="2" t="s">
        <v>20</v>
      </c>
      <c r="K97" s="2"/>
      <c r="L97" s="3" t="n">
        <f aca="false">B97-WEEKDAY(B97,2)+1</f>
        <v>46265</v>
      </c>
      <c r="M97" s="4" t="n">
        <f aca="false">IFERROR(INDEX(02_Parâmetros!$B$14:$B$17,MATCH(C97,02_Parâmetros!$A$14:$A$17,0)),"")</f>
        <v>2</v>
      </c>
      <c r="N97" s="2" t="str">
        <f aca="false">IF(OR(H97="",M97=""),"",IF(H97&lt;=M97,"Sim","Não"))</f>
        <v>Não</v>
      </c>
    </row>
    <row r="98" customFormat="false" ht="15" hidden="false" customHeight="false" outlineLevel="0" collapsed="false">
      <c r="A98" s="2" t="s">
        <v>135</v>
      </c>
      <c r="B98" s="3" t="n">
        <v>46269</v>
      </c>
      <c r="C98" s="2" t="s">
        <v>41</v>
      </c>
      <c r="D98" s="2" t="s">
        <v>38</v>
      </c>
      <c r="E98" s="2" t="s">
        <v>47</v>
      </c>
      <c r="F98" s="2" t="s">
        <v>18</v>
      </c>
      <c r="G98" s="2" t="s">
        <v>19</v>
      </c>
      <c r="H98" s="2" t="n">
        <v>217.6</v>
      </c>
      <c r="I98" s="2" t="n">
        <v>11.5</v>
      </c>
      <c r="J98" s="2" t="s">
        <v>25</v>
      </c>
      <c r="K98" s="2" t="n">
        <v>4</v>
      </c>
      <c r="L98" s="3" t="n">
        <f aca="false">B98-WEEKDAY(B98,2)+1</f>
        <v>46265</v>
      </c>
      <c r="M98" s="4" t="n">
        <f aca="false">IFERROR(INDEX(02_Parâmetros!$B$14:$B$17,MATCH(C98,02_Parâmetros!$A$14:$A$17,0)),"")</f>
        <v>240</v>
      </c>
      <c r="N98" s="2" t="str">
        <f aca="false">IF(OR(H98="",M98=""),"",IF(H98&lt;=M98,"Sim","Não"))</f>
        <v>Sim</v>
      </c>
    </row>
    <row r="99" customFormat="false" ht="15" hidden="false" customHeight="false" outlineLevel="0" collapsed="false">
      <c r="A99" s="2" t="s">
        <v>136</v>
      </c>
      <c r="B99" s="3" t="n">
        <v>46269</v>
      </c>
      <c r="C99" s="2" t="s">
        <v>44</v>
      </c>
      <c r="D99" s="2" t="s">
        <v>22</v>
      </c>
      <c r="E99" s="2" t="s">
        <v>23</v>
      </c>
      <c r="F99" s="2" t="s">
        <v>18</v>
      </c>
      <c r="G99" s="2" t="s">
        <v>19</v>
      </c>
      <c r="H99" s="2" t="n">
        <v>5.4</v>
      </c>
      <c r="I99" s="2" t="n">
        <v>10.6</v>
      </c>
      <c r="J99" s="2" t="s">
        <v>20</v>
      </c>
      <c r="K99" s="2"/>
      <c r="L99" s="3" t="n">
        <f aca="false">B99-WEEKDAY(B99,2)+1</f>
        <v>46265</v>
      </c>
      <c r="M99" s="4" t="n">
        <f aca="false">IFERROR(INDEX(02_Parâmetros!$B$14:$B$17,MATCH(C99,02_Parâmetros!$A$14:$A$17,0)),"")</f>
        <v>2</v>
      </c>
      <c r="N99" s="2" t="str">
        <f aca="false">IF(OR(H99="",M99=""),"",IF(H99&lt;=M99,"Sim","Não"))</f>
        <v>Não</v>
      </c>
    </row>
    <row r="100" customFormat="false" ht="15" hidden="false" customHeight="false" outlineLevel="0" collapsed="false">
      <c r="A100" s="2" t="s">
        <v>137</v>
      </c>
      <c r="B100" s="3" t="n">
        <v>46269</v>
      </c>
      <c r="C100" s="2" t="s">
        <v>15</v>
      </c>
      <c r="D100" s="2" t="s">
        <v>16</v>
      </c>
      <c r="E100" s="2" t="s">
        <v>36</v>
      </c>
      <c r="F100" s="2" t="s">
        <v>32</v>
      </c>
      <c r="G100" s="2" t="s">
        <v>19</v>
      </c>
      <c r="H100" s="2" t="n">
        <v>0.6</v>
      </c>
      <c r="I100" s="2" t="n">
        <v>8.7</v>
      </c>
      <c r="J100" s="2" t="s">
        <v>20</v>
      </c>
      <c r="K100" s="2" t="n">
        <v>2</v>
      </c>
      <c r="L100" s="3" t="n">
        <f aca="false">B100-WEEKDAY(B100,2)+1</f>
        <v>46265</v>
      </c>
      <c r="M100" s="4" t="n">
        <f aca="false">IFERROR(INDEX(02_Parâmetros!$B$14:$B$17,MATCH(C100,02_Parâmetros!$A$14:$A$17,0)),"")</f>
        <v>1</v>
      </c>
      <c r="N100" s="2" t="str">
        <f aca="false">IF(OR(H100="",M100=""),"",IF(H100&lt;=M100,"Sim","Não"))</f>
        <v>Sim</v>
      </c>
    </row>
    <row r="101" customFormat="false" ht="15" hidden="false" customHeight="false" outlineLevel="0" collapsed="false">
      <c r="A101" s="2" t="s">
        <v>138</v>
      </c>
      <c r="B101" s="3" t="n">
        <v>46269</v>
      </c>
      <c r="C101" s="2" t="s">
        <v>41</v>
      </c>
      <c r="D101" s="2" t="s">
        <v>22</v>
      </c>
      <c r="E101" s="2" t="s">
        <v>28</v>
      </c>
      <c r="F101" s="2" t="s">
        <v>18</v>
      </c>
      <c r="G101" s="2" t="s">
        <v>19</v>
      </c>
      <c r="H101" s="2" t="n">
        <v>474.7</v>
      </c>
      <c r="I101" s="2" t="n">
        <v>13.6</v>
      </c>
      <c r="J101" s="2" t="s">
        <v>20</v>
      </c>
      <c r="K101" s="2" t="n">
        <v>4</v>
      </c>
      <c r="L101" s="3" t="n">
        <f aca="false">B101-WEEKDAY(B101,2)+1</f>
        <v>46265</v>
      </c>
      <c r="M101" s="4" t="n">
        <f aca="false">IFERROR(INDEX(02_Parâmetros!$B$14:$B$17,MATCH(C101,02_Parâmetros!$A$14:$A$17,0)),"")</f>
        <v>240</v>
      </c>
      <c r="N101" s="2" t="str">
        <f aca="false">IF(OR(H101="",M101=""),"",IF(H101&lt;=M101,"Sim","Não"))</f>
        <v>Não</v>
      </c>
    </row>
    <row r="102" customFormat="false" ht="15" hidden="false" customHeight="false" outlineLevel="0" collapsed="false">
      <c r="A102" s="2" t="s">
        <v>139</v>
      </c>
      <c r="B102" s="3" t="n">
        <v>46269</v>
      </c>
      <c r="C102" s="2" t="s">
        <v>27</v>
      </c>
      <c r="D102" s="2" t="s">
        <v>22</v>
      </c>
      <c r="E102" s="2" t="s">
        <v>23</v>
      </c>
      <c r="F102" s="2" t="s">
        <v>42</v>
      </c>
      <c r="G102" s="2" t="s">
        <v>19</v>
      </c>
      <c r="H102" s="2" t="n">
        <v>5.9</v>
      </c>
      <c r="I102" s="2" t="n">
        <v>7.3</v>
      </c>
      <c r="J102" s="2" t="s">
        <v>25</v>
      </c>
      <c r="K102" s="2" t="n">
        <v>5</v>
      </c>
      <c r="L102" s="3" t="n">
        <f aca="false">B102-WEEKDAY(B102,2)+1</f>
        <v>46265</v>
      </c>
      <c r="M102" s="4" t="n">
        <f aca="false">IFERROR(INDEX(02_Parâmetros!$B$14:$B$17,MATCH(C102,02_Parâmetros!$A$14:$A$17,0)),"")</f>
        <v>10</v>
      </c>
      <c r="N102" s="2" t="str">
        <f aca="false">IF(OR(H102="",M102=""),"",IF(H102&lt;=M102,"Sim","Não"))</f>
        <v>Sim</v>
      </c>
    </row>
    <row r="103" customFormat="false" ht="15" hidden="false" customHeight="false" outlineLevel="0" collapsed="false">
      <c r="A103" s="2" t="s">
        <v>140</v>
      </c>
      <c r="B103" s="3" t="n">
        <v>46269</v>
      </c>
      <c r="C103" s="2" t="s">
        <v>27</v>
      </c>
      <c r="D103" s="2" t="s">
        <v>38</v>
      </c>
      <c r="E103" s="2" t="s">
        <v>39</v>
      </c>
      <c r="F103" s="2" t="s">
        <v>32</v>
      </c>
      <c r="G103" s="2" t="s">
        <v>19</v>
      </c>
      <c r="H103" s="2" t="n">
        <v>3.1</v>
      </c>
      <c r="I103" s="2" t="n">
        <v>4.8</v>
      </c>
      <c r="J103" s="2" t="s">
        <v>25</v>
      </c>
      <c r="K103" s="2"/>
      <c r="L103" s="3" t="n">
        <f aca="false">B103-WEEKDAY(B103,2)+1</f>
        <v>46265</v>
      </c>
      <c r="M103" s="4" t="n">
        <f aca="false">IFERROR(INDEX(02_Parâmetros!$B$14:$B$17,MATCH(C103,02_Parâmetros!$A$14:$A$17,0)),"")</f>
        <v>10</v>
      </c>
      <c r="N103" s="2" t="str">
        <f aca="false">IF(OR(H103="",M103=""),"",IF(H103&lt;=M103,"Sim","Não"))</f>
        <v>Sim</v>
      </c>
    </row>
    <row r="104" customFormat="false" ht="15" hidden="false" customHeight="false" outlineLevel="0" collapsed="false">
      <c r="A104" s="2" t="s">
        <v>141</v>
      </c>
      <c r="B104" s="3" t="n">
        <v>46269</v>
      </c>
      <c r="C104" s="2" t="s">
        <v>41</v>
      </c>
      <c r="D104" s="2" t="s">
        <v>22</v>
      </c>
      <c r="E104" s="2" t="s">
        <v>28</v>
      </c>
      <c r="F104" s="2" t="s">
        <v>18</v>
      </c>
      <c r="G104" s="2" t="s">
        <v>19</v>
      </c>
      <c r="H104" s="2" t="n">
        <v>115.3</v>
      </c>
      <c r="I104" s="2" t="n">
        <v>5.8</v>
      </c>
      <c r="J104" s="2" t="s">
        <v>25</v>
      </c>
      <c r="K104" s="2"/>
      <c r="L104" s="3" t="n">
        <f aca="false">B104-WEEKDAY(B104,2)+1</f>
        <v>46265</v>
      </c>
      <c r="M104" s="4" t="n">
        <f aca="false">IFERROR(INDEX(02_Parâmetros!$B$14:$B$17,MATCH(C104,02_Parâmetros!$A$14:$A$17,0)),"")</f>
        <v>240</v>
      </c>
      <c r="N104" s="2" t="str">
        <f aca="false">IF(OR(H104="",M104=""),"",IF(H104&lt;=M104,"Sim","Não"))</f>
        <v>Sim</v>
      </c>
    </row>
    <row r="105" customFormat="false" ht="15" hidden="false" customHeight="false" outlineLevel="0" collapsed="false">
      <c r="A105" s="2" t="s">
        <v>142</v>
      </c>
      <c r="B105" s="3" t="n">
        <v>46269</v>
      </c>
      <c r="C105" s="2" t="s">
        <v>27</v>
      </c>
      <c r="D105" s="2" t="s">
        <v>16</v>
      </c>
      <c r="E105" s="2" t="s">
        <v>17</v>
      </c>
      <c r="F105" s="2" t="s">
        <v>42</v>
      </c>
      <c r="G105" s="2" t="s">
        <v>78</v>
      </c>
      <c r="H105" s="2" t="n">
        <v>18.6</v>
      </c>
      <c r="I105" s="2" t="n">
        <v>6.3</v>
      </c>
      <c r="J105" s="2"/>
      <c r="K105" s="2"/>
      <c r="L105" s="3" t="n">
        <f aca="false">B105-WEEKDAY(B105,2)+1</f>
        <v>46265</v>
      </c>
      <c r="M105" s="4" t="n">
        <f aca="false">IFERROR(INDEX(02_Parâmetros!$B$14:$B$17,MATCH(C105,02_Parâmetros!$A$14:$A$17,0)),"")</f>
        <v>10</v>
      </c>
      <c r="N105" s="2" t="str">
        <f aca="false">IF(OR(H105="",M105=""),"",IF(H105&lt;=M105,"Sim","Não"))</f>
        <v>Não</v>
      </c>
    </row>
    <row r="106" customFormat="false" ht="15" hidden="false" customHeight="false" outlineLevel="0" collapsed="false">
      <c r="A106" s="2" t="s">
        <v>143</v>
      </c>
      <c r="B106" s="3" t="n">
        <v>46269</v>
      </c>
      <c r="C106" s="2" t="s">
        <v>27</v>
      </c>
      <c r="D106" s="2" t="s">
        <v>22</v>
      </c>
      <c r="E106" s="2" t="s">
        <v>28</v>
      </c>
      <c r="F106" s="2" t="s">
        <v>42</v>
      </c>
      <c r="G106" s="2" t="s">
        <v>19</v>
      </c>
      <c r="H106" s="2" t="n">
        <v>9.4</v>
      </c>
      <c r="I106" s="2" t="n">
        <v>6.3</v>
      </c>
      <c r="J106" s="2" t="s">
        <v>20</v>
      </c>
      <c r="K106" s="2"/>
      <c r="L106" s="3" t="n">
        <f aca="false">B106-WEEKDAY(B106,2)+1</f>
        <v>46265</v>
      </c>
      <c r="M106" s="4" t="n">
        <f aca="false">IFERROR(INDEX(02_Parâmetros!$B$14:$B$17,MATCH(C106,02_Parâmetros!$A$14:$A$17,0)),"")</f>
        <v>10</v>
      </c>
      <c r="N106" s="2" t="str">
        <f aca="false">IF(OR(H106="",M106=""),"",IF(H106&lt;=M106,"Sim","Não"))</f>
        <v>Sim</v>
      </c>
    </row>
    <row r="107" customFormat="false" ht="15" hidden="false" customHeight="false" outlineLevel="0" collapsed="false">
      <c r="A107" s="2" t="s">
        <v>144</v>
      </c>
      <c r="B107" s="3" t="n">
        <v>46269</v>
      </c>
      <c r="C107" s="2" t="s">
        <v>44</v>
      </c>
      <c r="D107" s="2" t="s">
        <v>22</v>
      </c>
      <c r="E107" s="2" t="s">
        <v>28</v>
      </c>
      <c r="F107" s="2" t="s">
        <v>18</v>
      </c>
      <c r="G107" s="2" t="s">
        <v>19</v>
      </c>
      <c r="H107" s="2" t="n">
        <v>0.9</v>
      </c>
      <c r="I107" s="2" t="n">
        <v>9</v>
      </c>
      <c r="J107" s="2" t="s">
        <v>20</v>
      </c>
      <c r="K107" s="2" t="n">
        <v>5</v>
      </c>
      <c r="L107" s="3" t="n">
        <f aca="false">B107-WEEKDAY(B107,2)+1</f>
        <v>46265</v>
      </c>
      <c r="M107" s="4" t="n">
        <f aca="false">IFERROR(INDEX(02_Parâmetros!$B$14:$B$17,MATCH(C107,02_Parâmetros!$A$14:$A$17,0)),"")</f>
        <v>2</v>
      </c>
      <c r="N107" s="2" t="str">
        <f aca="false">IF(OR(H107="",M107=""),"",IF(H107&lt;=M107,"Sim","Não"))</f>
        <v>Sim</v>
      </c>
    </row>
    <row r="108" customFormat="false" ht="15" hidden="false" customHeight="false" outlineLevel="0" collapsed="false">
      <c r="A108" s="2" t="s">
        <v>145</v>
      </c>
      <c r="B108" s="3" t="n">
        <v>46269</v>
      </c>
      <c r="C108" s="2" t="s">
        <v>41</v>
      </c>
      <c r="D108" s="2" t="s">
        <v>22</v>
      </c>
      <c r="E108" s="2" t="s">
        <v>23</v>
      </c>
      <c r="F108" s="2" t="s">
        <v>18</v>
      </c>
      <c r="G108" s="2" t="s">
        <v>19</v>
      </c>
      <c r="H108" s="2" t="n">
        <v>108.2</v>
      </c>
      <c r="I108" s="2" t="n">
        <v>10.9</v>
      </c>
      <c r="J108" s="2" t="s">
        <v>20</v>
      </c>
      <c r="K108" s="2" t="n">
        <v>4</v>
      </c>
      <c r="L108" s="3" t="n">
        <f aca="false">B108-WEEKDAY(B108,2)+1</f>
        <v>46265</v>
      </c>
      <c r="M108" s="4" t="n">
        <f aca="false">IFERROR(INDEX(02_Parâmetros!$B$14:$B$17,MATCH(C108,02_Parâmetros!$A$14:$A$17,0)),"")</f>
        <v>240</v>
      </c>
      <c r="N108" s="2" t="str">
        <f aca="false">IF(OR(H108="",M108=""),"",IF(H108&lt;=M108,"Sim","Não"))</f>
        <v>Sim</v>
      </c>
    </row>
    <row r="109" customFormat="false" ht="15" hidden="false" customHeight="false" outlineLevel="0" collapsed="false">
      <c r="A109" s="2" t="s">
        <v>146</v>
      </c>
      <c r="B109" s="3" t="n">
        <v>46269</v>
      </c>
      <c r="C109" s="2" t="s">
        <v>27</v>
      </c>
      <c r="D109" s="2" t="s">
        <v>16</v>
      </c>
      <c r="E109" s="2" t="s">
        <v>31</v>
      </c>
      <c r="F109" s="2" t="s">
        <v>42</v>
      </c>
      <c r="G109" s="2" t="s">
        <v>19</v>
      </c>
      <c r="H109" s="2" t="n">
        <v>5.6</v>
      </c>
      <c r="I109" s="2" t="n">
        <v>6.5</v>
      </c>
      <c r="J109" s="2" t="s">
        <v>20</v>
      </c>
      <c r="K109" s="2"/>
      <c r="L109" s="3" t="n">
        <f aca="false">B109-WEEKDAY(B109,2)+1</f>
        <v>46265</v>
      </c>
      <c r="M109" s="4" t="n">
        <f aca="false">IFERROR(INDEX(02_Parâmetros!$B$14:$B$17,MATCH(C109,02_Parâmetros!$A$14:$A$17,0)),"")</f>
        <v>10</v>
      </c>
      <c r="N109" s="2" t="str">
        <f aca="false">IF(OR(H109="",M109=""),"",IF(H109&lt;=M109,"Sim","Não"))</f>
        <v>Sim</v>
      </c>
    </row>
    <row r="110" customFormat="false" ht="15" hidden="false" customHeight="false" outlineLevel="0" collapsed="false">
      <c r="A110" s="2" t="s">
        <v>147</v>
      </c>
      <c r="B110" s="3" t="n">
        <v>46272</v>
      </c>
      <c r="C110" s="2" t="s">
        <v>44</v>
      </c>
      <c r="D110" s="2" t="s">
        <v>22</v>
      </c>
      <c r="E110" s="2" t="s">
        <v>23</v>
      </c>
      <c r="F110" s="2" t="s">
        <v>42</v>
      </c>
      <c r="G110" s="2" t="s">
        <v>19</v>
      </c>
      <c r="H110" s="2" t="n">
        <v>0.7</v>
      </c>
      <c r="I110" s="2" t="n">
        <v>12</v>
      </c>
      <c r="J110" s="2" t="s">
        <v>25</v>
      </c>
      <c r="K110" s="2" t="n">
        <v>3</v>
      </c>
      <c r="L110" s="3" t="n">
        <f aca="false">B110-WEEKDAY(B110,2)+1</f>
        <v>46272</v>
      </c>
      <c r="M110" s="4" t="n">
        <f aca="false">IFERROR(INDEX(02_Parâmetros!$B$14:$B$17,MATCH(C110,02_Parâmetros!$A$14:$A$17,0)),"")</f>
        <v>2</v>
      </c>
      <c r="N110" s="2" t="str">
        <f aca="false">IF(OR(H110="",M110=""),"",IF(H110&lt;=M110,"Sim","Não"))</f>
        <v>Sim</v>
      </c>
    </row>
    <row r="111" customFormat="false" ht="15" hidden="false" customHeight="false" outlineLevel="0" collapsed="false">
      <c r="A111" s="2" t="s">
        <v>148</v>
      </c>
      <c r="B111" s="3" t="n">
        <v>46272</v>
      </c>
      <c r="C111" s="2" t="s">
        <v>41</v>
      </c>
      <c r="D111" s="2" t="s">
        <v>16</v>
      </c>
      <c r="E111" s="2" t="s">
        <v>31</v>
      </c>
      <c r="F111" s="2" t="s">
        <v>18</v>
      </c>
      <c r="G111" s="2" t="s">
        <v>19</v>
      </c>
      <c r="H111" s="2" t="n">
        <v>187.4</v>
      </c>
      <c r="I111" s="2" t="n">
        <v>15.6</v>
      </c>
      <c r="J111" s="2" t="s">
        <v>20</v>
      </c>
      <c r="K111" s="2"/>
      <c r="L111" s="3" t="n">
        <f aca="false">B111-WEEKDAY(B111,2)+1</f>
        <v>46272</v>
      </c>
      <c r="M111" s="4" t="n">
        <f aca="false">IFERROR(INDEX(02_Parâmetros!$B$14:$B$17,MATCH(C111,02_Parâmetros!$A$14:$A$17,0)),"")</f>
        <v>240</v>
      </c>
      <c r="N111" s="2" t="str">
        <f aca="false">IF(OR(H111="",M111=""),"",IF(H111&lt;=M111,"Sim","Não"))</f>
        <v>Sim</v>
      </c>
    </row>
    <row r="112" customFormat="false" ht="15" hidden="false" customHeight="false" outlineLevel="0" collapsed="false">
      <c r="A112" s="2" t="s">
        <v>149</v>
      </c>
      <c r="B112" s="3" t="n">
        <v>46272</v>
      </c>
      <c r="C112" s="2" t="s">
        <v>44</v>
      </c>
      <c r="D112" s="2" t="s">
        <v>38</v>
      </c>
      <c r="E112" s="2" t="s">
        <v>47</v>
      </c>
      <c r="F112" s="2" t="s">
        <v>42</v>
      </c>
      <c r="G112" s="2" t="s">
        <v>19</v>
      </c>
      <c r="H112" s="2" t="n">
        <v>1.3</v>
      </c>
      <c r="I112" s="2" t="n">
        <v>6.5</v>
      </c>
      <c r="J112" s="2" t="s">
        <v>20</v>
      </c>
      <c r="K112" s="2"/>
      <c r="L112" s="3" t="n">
        <f aca="false">B112-WEEKDAY(B112,2)+1</f>
        <v>46272</v>
      </c>
      <c r="M112" s="4" t="n">
        <f aca="false">IFERROR(INDEX(02_Parâmetros!$B$14:$B$17,MATCH(C112,02_Parâmetros!$A$14:$A$17,0)),"")</f>
        <v>2</v>
      </c>
      <c r="N112" s="2" t="str">
        <f aca="false">IF(OR(H112="",M112=""),"",IF(H112&lt;=M112,"Sim","Não"))</f>
        <v>Sim</v>
      </c>
    </row>
    <row r="113" customFormat="false" ht="15" hidden="false" customHeight="false" outlineLevel="0" collapsed="false">
      <c r="A113" s="2" t="s">
        <v>150</v>
      </c>
      <c r="B113" s="3" t="n">
        <v>46272</v>
      </c>
      <c r="C113" s="2" t="s">
        <v>27</v>
      </c>
      <c r="D113" s="2" t="s">
        <v>16</v>
      </c>
      <c r="E113" s="2" t="s">
        <v>36</v>
      </c>
      <c r="F113" s="2" t="s">
        <v>42</v>
      </c>
      <c r="G113" s="2" t="s">
        <v>19</v>
      </c>
      <c r="H113" s="2" t="n">
        <v>3.3</v>
      </c>
      <c r="I113" s="2" t="n">
        <v>10.8</v>
      </c>
      <c r="J113" s="2" t="s">
        <v>20</v>
      </c>
      <c r="K113" s="2"/>
      <c r="L113" s="3" t="n">
        <f aca="false">B113-WEEKDAY(B113,2)+1</f>
        <v>46272</v>
      </c>
      <c r="M113" s="4" t="n">
        <f aca="false">IFERROR(INDEX(02_Parâmetros!$B$14:$B$17,MATCH(C113,02_Parâmetros!$A$14:$A$17,0)),"")</f>
        <v>10</v>
      </c>
      <c r="N113" s="2" t="str">
        <f aca="false">IF(OR(H113="",M113=""),"",IF(H113&lt;=M113,"Sim","Não"))</f>
        <v>Sim</v>
      </c>
    </row>
    <row r="114" customFormat="false" ht="15" hidden="false" customHeight="false" outlineLevel="0" collapsed="false">
      <c r="A114" s="2" t="s">
        <v>151</v>
      </c>
      <c r="B114" s="3" t="n">
        <v>46272</v>
      </c>
      <c r="C114" s="2" t="s">
        <v>15</v>
      </c>
      <c r="D114" s="2" t="s">
        <v>16</v>
      </c>
      <c r="E114" s="2" t="s">
        <v>36</v>
      </c>
      <c r="F114" s="2" t="s">
        <v>34</v>
      </c>
      <c r="G114" s="2" t="s">
        <v>19</v>
      </c>
      <c r="H114" s="2" t="n">
        <v>0.4</v>
      </c>
      <c r="I114" s="2" t="n">
        <v>8</v>
      </c>
      <c r="J114" s="2" t="s">
        <v>20</v>
      </c>
      <c r="K114" s="2"/>
      <c r="L114" s="3" t="n">
        <f aca="false">B114-WEEKDAY(B114,2)+1</f>
        <v>46272</v>
      </c>
      <c r="M114" s="4" t="n">
        <f aca="false">IFERROR(INDEX(02_Parâmetros!$B$14:$B$17,MATCH(C114,02_Parâmetros!$A$14:$A$17,0)),"")</f>
        <v>1</v>
      </c>
      <c r="N114" s="2" t="str">
        <f aca="false">IF(OR(H114="",M114=""),"",IF(H114&lt;=M114,"Sim","Não"))</f>
        <v>Sim</v>
      </c>
    </row>
    <row r="115" customFormat="false" ht="15" hidden="false" customHeight="false" outlineLevel="0" collapsed="false">
      <c r="A115" s="2" t="s">
        <v>152</v>
      </c>
      <c r="B115" s="3" t="n">
        <v>46272</v>
      </c>
      <c r="C115" s="2" t="s">
        <v>27</v>
      </c>
      <c r="D115" s="2" t="s">
        <v>22</v>
      </c>
      <c r="E115" s="2" t="s">
        <v>28</v>
      </c>
      <c r="F115" s="2" t="s">
        <v>24</v>
      </c>
      <c r="G115" s="2" t="s">
        <v>19</v>
      </c>
      <c r="H115" s="2" t="n">
        <v>3</v>
      </c>
      <c r="I115" s="2" t="n">
        <v>10</v>
      </c>
      <c r="J115" s="2" t="s">
        <v>20</v>
      </c>
      <c r="K115" s="2"/>
      <c r="L115" s="3" t="n">
        <f aca="false">B115-WEEKDAY(B115,2)+1</f>
        <v>46272</v>
      </c>
      <c r="M115" s="4" t="n">
        <f aca="false">IFERROR(INDEX(02_Parâmetros!$B$14:$B$17,MATCH(C115,02_Parâmetros!$A$14:$A$17,0)),"")</f>
        <v>10</v>
      </c>
      <c r="N115" s="2" t="str">
        <f aca="false">IF(OR(H115="",M115=""),"",IF(H115&lt;=M115,"Sim","Não"))</f>
        <v>Sim</v>
      </c>
    </row>
    <row r="116" customFormat="false" ht="15" hidden="false" customHeight="false" outlineLevel="0" collapsed="false">
      <c r="A116" s="2" t="s">
        <v>153</v>
      </c>
      <c r="B116" s="3" t="n">
        <v>46272</v>
      </c>
      <c r="C116" s="2" t="s">
        <v>27</v>
      </c>
      <c r="D116" s="2" t="s">
        <v>38</v>
      </c>
      <c r="E116" s="2" t="s">
        <v>39</v>
      </c>
      <c r="F116" s="2" t="s">
        <v>70</v>
      </c>
      <c r="G116" s="2" t="s">
        <v>19</v>
      </c>
      <c r="H116" s="2" t="n">
        <v>7.2</v>
      </c>
      <c r="I116" s="2" t="n">
        <v>3.8</v>
      </c>
      <c r="J116" s="2" t="s">
        <v>20</v>
      </c>
      <c r="K116" s="2"/>
      <c r="L116" s="3" t="n">
        <f aca="false">B116-WEEKDAY(B116,2)+1</f>
        <v>46272</v>
      </c>
      <c r="M116" s="4" t="n">
        <f aca="false">IFERROR(INDEX(02_Parâmetros!$B$14:$B$17,MATCH(C116,02_Parâmetros!$A$14:$A$17,0)),"")</f>
        <v>10</v>
      </c>
      <c r="N116" s="2" t="str">
        <f aca="false">IF(OR(H116="",M116=""),"",IF(H116&lt;=M116,"Sim","Não"))</f>
        <v>Sim</v>
      </c>
    </row>
    <row r="117" customFormat="false" ht="15" hidden="false" customHeight="false" outlineLevel="0" collapsed="false">
      <c r="A117" s="2" t="s">
        <v>154</v>
      </c>
      <c r="B117" s="3" t="n">
        <v>46272</v>
      </c>
      <c r="C117" s="2" t="s">
        <v>15</v>
      </c>
      <c r="D117" s="2" t="s">
        <v>16</v>
      </c>
      <c r="E117" s="2" t="s">
        <v>36</v>
      </c>
      <c r="F117" s="2" t="s">
        <v>32</v>
      </c>
      <c r="G117" s="2" t="s">
        <v>19</v>
      </c>
      <c r="H117" s="2" t="n">
        <v>0.9</v>
      </c>
      <c r="I117" s="2" t="n">
        <v>6.5</v>
      </c>
      <c r="J117" s="2" t="s">
        <v>20</v>
      </c>
      <c r="K117" s="2"/>
      <c r="L117" s="3" t="n">
        <f aca="false">B117-WEEKDAY(B117,2)+1</f>
        <v>46272</v>
      </c>
      <c r="M117" s="4" t="n">
        <f aca="false">IFERROR(INDEX(02_Parâmetros!$B$14:$B$17,MATCH(C117,02_Parâmetros!$A$14:$A$17,0)),"")</f>
        <v>1</v>
      </c>
      <c r="N117" s="2" t="str">
        <f aca="false">IF(OR(H117="",M117=""),"",IF(H117&lt;=M117,"Sim","Não"))</f>
        <v>Sim</v>
      </c>
    </row>
    <row r="118" customFormat="false" ht="15" hidden="false" customHeight="false" outlineLevel="0" collapsed="false">
      <c r="A118" s="2" t="s">
        <v>155</v>
      </c>
      <c r="B118" s="3" t="n">
        <v>46272</v>
      </c>
      <c r="C118" s="2" t="s">
        <v>15</v>
      </c>
      <c r="D118" s="2" t="s">
        <v>38</v>
      </c>
      <c r="E118" s="2" t="s">
        <v>56</v>
      </c>
      <c r="F118" s="2" t="s">
        <v>32</v>
      </c>
      <c r="G118" s="2" t="s">
        <v>19</v>
      </c>
      <c r="H118" s="2" t="n">
        <v>0.8</v>
      </c>
      <c r="I118" s="2" t="n">
        <v>9.4</v>
      </c>
      <c r="J118" s="2" t="s">
        <v>20</v>
      </c>
      <c r="K118" s="2" t="n">
        <v>5</v>
      </c>
      <c r="L118" s="3" t="n">
        <f aca="false">B118-WEEKDAY(B118,2)+1</f>
        <v>46272</v>
      </c>
      <c r="M118" s="4" t="n">
        <f aca="false">IFERROR(INDEX(02_Parâmetros!$B$14:$B$17,MATCH(C118,02_Parâmetros!$A$14:$A$17,0)),"")</f>
        <v>1</v>
      </c>
      <c r="N118" s="2" t="str">
        <f aca="false">IF(OR(H118="",M118=""),"",IF(H118&lt;=M118,"Sim","Não"))</f>
        <v>Sim</v>
      </c>
    </row>
    <row r="119" customFormat="false" ht="15" hidden="false" customHeight="false" outlineLevel="0" collapsed="false">
      <c r="A119" s="2" t="s">
        <v>156</v>
      </c>
      <c r="B119" s="3" t="n">
        <v>46272</v>
      </c>
      <c r="C119" s="2" t="s">
        <v>15</v>
      </c>
      <c r="D119" s="2" t="s">
        <v>22</v>
      </c>
      <c r="E119" s="2" t="s">
        <v>23</v>
      </c>
      <c r="F119" s="2" t="s">
        <v>34</v>
      </c>
      <c r="G119" s="2" t="s">
        <v>19</v>
      </c>
      <c r="H119" s="2" t="n">
        <v>1.5</v>
      </c>
      <c r="I119" s="2" t="n">
        <v>12.3</v>
      </c>
      <c r="J119" s="2" t="s">
        <v>25</v>
      </c>
      <c r="K119" s="2" t="n">
        <v>4</v>
      </c>
      <c r="L119" s="3" t="n">
        <f aca="false">B119-WEEKDAY(B119,2)+1</f>
        <v>46272</v>
      </c>
      <c r="M119" s="4" t="n">
        <f aca="false">IFERROR(INDEX(02_Parâmetros!$B$14:$B$17,MATCH(C119,02_Parâmetros!$A$14:$A$17,0)),"")</f>
        <v>1</v>
      </c>
      <c r="N119" s="2" t="str">
        <f aca="false">IF(OR(H119="",M119=""),"",IF(H119&lt;=M119,"Sim","Não"))</f>
        <v>Não</v>
      </c>
    </row>
    <row r="120" customFormat="false" ht="15" hidden="false" customHeight="false" outlineLevel="0" collapsed="false">
      <c r="A120" s="2" t="s">
        <v>157</v>
      </c>
      <c r="B120" s="3" t="n">
        <v>46272</v>
      </c>
      <c r="C120" s="2" t="s">
        <v>27</v>
      </c>
      <c r="D120" s="2" t="s">
        <v>38</v>
      </c>
      <c r="E120" s="2" t="s">
        <v>39</v>
      </c>
      <c r="F120" s="2" t="s">
        <v>42</v>
      </c>
      <c r="G120" s="2" t="s">
        <v>19</v>
      </c>
      <c r="H120" s="2" t="n">
        <v>5.5</v>
      </c>
      <c r="I120" s="2" t="n">
        <v>9.8</v>
      </c>
      <c r="J120" s="2" t="s">
        <v>20</v>
      </c>
      <c r="K120" s="2" t="n">
        <v>4</v>
      </c>
      <c r="L120" s="3" t="n">
        <f aca="false">B120-WEEKDAY(B120,2)+1</f>
        <v>46272</v>
      </c>
      <c r="M120" s="4" t="n">
        <f aca="false">IFERROR(INDEX(02_Parâmetros!$B$14:$B$17,MATCH(C120,02_Parâmetros!$A$14:$A$17,0)),"")</f>
        <v>10</v>
      </c>
      <c r="N120" s="2" t="str">
        <f aca="false">IF(OR(H120="",M120=""),"",IF(H120&lt;=M120,"Sim","Não"))</f>
        <v>Sim</v>
      </c>
    </row>
    <row r="121" customFormat="false" ht="15" hidden="false" customHeight="false" outlineLevel="0" collapsed="false">
      <c r="A121" s="2" t="s">
        <v>158</v>
      </c>
      <c r="B121" s="3" t="n">
        <v>46272</v>
      </c>
      <c r="C121" s="2" t="s">
        <v>44</v>
      </c>
      <c r="D121" s="2" t="s">
        <v>16</v>
      </c>
      <c r="E121" s="2" t="s">
        <v>31</v>
      </c>
      <c r="F121" s="2" t="s">
        <v>42</v>
      </c>
      <c r="G121" s="2" t="s">
        <v>19</v>
      </c>
      <c r="H121" s="2" t="n">
        <v>1.9</v>
      </c>
      <c r="I121" s="2" t="n">
        <v>7.3</v>
      </c>
      <c r="J121" s="2" t="s">
        <v>25</v>
      </c>
      <c r="K121" s="2"/>
      <c r="L121" s="3" t="n">
        <f aca="false">B121-WEEKDAY(B121,2)+1</f>
        <v>46272</v>
      </c>
      <c r="M121" s="4" t="n">
        <f aca="false">IFERROR(INDEX(02_Parâmetros!$B$14:$B$17,MATCH(C121,02_Parâmetros!$A$14:$A$17,0)),"")</f>
        <v>2</v>
      </c>
      <c r="N121" s="2" t="str">
        <f aca="false">IF(OR(H121="",M121=""),"",IF(H121&lt;=M121,"Sim","Não"))</f>
        <v>Sim</v>
      </c>
    </row>
    <row r="122" customFormat="false" ht="15" hidden="false" customHeight="false" outlineLevel="0" collapsed="false">
      <c r="A122" s="2" t="s">
        <v>159</v>
      </c>
      <c r="B122" s="3" t="n">
        <v>46272</v>
      </c>
      <c r="C122" s="2" t="s">
        <v>27</v>
      </c>
      <c r="D122" s="2" t="s">
        <v>22</v>
      </c>
      <c r="E122" s="2" t="s">
        <v>28</v>
      </c>
      <c r="F122" s="2" t="s">
        <v>32</v>
      </c>
      <c r="G122" s="2" t="s">
        <v>19</v>
      </c>
      <c r="H122" s="2" t="n">
        <v>6</v>
      </c>
      <c r="I122" s="2" t="n">
        <v>6.6</v>
      </c>
      <c r="J122" s="2" t="s">
        <v>20</v>
      </c>
      <c r="K122" s="2"/>
      <c r="L122" s="3" t="n">
        <f aca="false">B122-WEEKDAY(B122,2)+1</f>
        <v>46272</v>
      </c>
      <c r="M122" s="4" t="n">
        <f aca="false">IFERROR(INDEX(02_Parâmetros!$B$14:$B$17,MATCH(C122,02_Parâmetros!$A$14:$A$17,0)),"")</f>
        <v>10</v>
      </c>
      <c r="N122" s="2" t="str">
        <f aca="false">IF(OR(H122="",M122=""),"",IF(H122&lt;=M122,"Sim","Não"))</f>
        <v>Sim</v>
      </c>
    </row>
    <row r="123" customFormat="false" ht="15" hidden="false" customHeight="false" outlineLevel="0" collapsed="false">
      <c r="A123" s="2" t="s">
        <v>160</v>
      </c>
      <c r="B123" s="3" t="n">
        <v>46272</v>
      </c>
      <c r="C123" s="2" t="s">
        <v>15</v>
      </c>
      <c r="D123" s="2" t="s">
        <v>38</v>
      </c>
      <c r="E123" s="2" t="s">
        <v>39</v>
      </c>
      <c r="F123" s="2" t="s">
        <v>24</v>
      </c>
      <c r="G123" s="2" t="s">
        <v>19</v>
      </c>
      <c r="H123" s="2" t="n">
        <v>0.8</v>
      </c>
      <c r="I123" s="2" t="n">
        <v>14.4</v>
      </c>
      <c r="J123" s="2" t="s">
        <v>20</v>
      </c>
      <c r="K123" s="2"/>
      <c r="L123" s="3" t="n">
        <f aca="false">B123-WEEKDAY(B123,2)+1</f>
        <v>46272</v>
      </c>
      <c r="M123" s="4" t="n">
        <f aca="false">IFERROR(INDEX(02_Parâmetros!$B$14:$B$17,MATCH(C123,02_Parâmetros!$A$14:$A$17,0)),"")</f>
        <v>1</v>
      </c>
      <c r="N123" s="2" t="str">
        <f aca="false">IF(OR(H123="",M123=""),"",IF(H123&lt;=M123,"Sim","Não"))</f>
        <v>Sim</v>
      </c>
    </row>
    <row r="124" customFormat="false" ht="15" hidden="false" customHeight="false" outlineLevel="0" collapsed="false">
      <c r="A124" s="2" t="s">
        <v>161</v>
      </c>
      <c r="B124" s="3" t="n">
        <v>46272</v>
      </c>
      <c r="C124" s="2" t="s">
        <v>41</v>
      </c>
      <c r="D124" s="2" t="s">
        <v>38</v>
      </c>
      <c r="E124" s="2" t="s">
        <v>47</v>
      </c>
      <c r="F124" s="2" t="s">
        <v>18</v>
      </c>
      <c r="G124" s="2" t="s">
        <v>19</v>
      </c>
      <c r="H124" s="2" t="n">
        <v>568.8</v>
      </c>
      <c r="I124" s="2" t="n">
        <v>9.3</v>
      </c>
      <c r="J124" s="2" t="s">
        <v>20</v>
      </c>
      <c r="K124" s="2"/>
      <c r="L124" s="3" t="n">
        <f aca="false">B124-WEEKDAY(B124,2)+1</f>
        <v>46272</v>
      </c>
      <c r="M124" s="4" t="n">
        <f aca="false">IFERROR(INDEX(02_Parâmetros!$B$14:$B$17,MATCH(C124,02_Parâmetros!$A$14:$A$17,0)),"")</f>
        <v>240</v>
      </c>
      <c r="N124" s="2" t="str">
        <f aca="false">IF(OR(H124="",M124=""),"",IF(H124&lt;=M124,"Sim","Não"))</f>
        <v>Não</v>
      </c>
    </row>
    <row r="125" customFormat="false" ht="15" hidden="false" customHeight="false" outlineLevel="0" collapsed="false">
      <c r="A125" s="2" t="s">
        <v>162</v>
      </c>
      <c r="B125" s="3" t="n">
        <v>46272</v>
      </c>
      <c r="C125" s="2" t="s">
        <v>27</v>
      </c>
      <c r="D125" s="2" t="s">
        <v>22</v>
      </c>
      <c r="E125" s="2" t="s">
        <v>23</v>
      </c>
      <c r="F125" s="2" t="s">
        <v>18</v>
      </c>
      <c r="G125" s="2" t="s">
        <v>78</v>
      </c>
      <c r="H125" s="2" t="n">
        <v>7.5</v>
      </c>
      <c r="I125" s="2" t="n">
        <v>7.6</v>
      </c>
      <c r="J125" s="2"/>
      <c r="K125" s="2"/>
      <c r="L125" s="3" t="n">
        <f aca="false">B125-WEEKDAY(B125,2)+1</f>
        <v>46272</v>
      </c>
      <c r="M125" s="4" t="n">
        <f aca="false">IFERROR(INDEX(02_Parâmetros!$B$14:$B$17,MATCH(C125,02_Parâmetros!$A$14:$A$17,0)),"")</f>
        <v>10</v>
      </c>
      <c r="N125" s="2" t="str">
        <f aca="false">IF(OR(H125="",M125=""),"",IF(H125&lt;=M125,"Sim","Não"))</f>
        <v>Sim</v>
      </c>
    </row>
    <row r="126" customFormat="false" ht="15" hidden="false" customHeight="false" outlineLevel="0" collapsed="false">
      <c r="A126" s="2" t="s">
        <v>163</v>
      </c>
      <c r="B126" s="3" t="n">
        <v>46272</v>
      </c>
      <c r="C126" s="2" t="s">
        <v>27</v>
      </c>
      <c r="D126" s="2" t="s">
        <v>22</v>
      </c>
      <c r="E126" s="2" t="s">
        <v>23</v>
      </c>
      <c r="F126" s="2" t="s">
        <v>18</v>
      </c>
      <c r="G126" s="2" t="s">
        <v>19</v>
      </c>
      <c r="H126" s="2" t="n">
        <v>8.5</v>
      </c>
      <c r="I126" s="2" t="n">
        <v>6.6</v>
      </c>
      <c r="J126" s="2" t="s">
        <v>20</v>
      </c>
      <c r="K126" s="2"/>
      <c r="L126" s="3" t="n">
        <f aca="false">B126-WEEKDAY(B126,2)+1</f>
        <v>46272</v>
      </c>
      <c r="M126" s="4" t="n">
        <f aca="false">IFERROR(INDEX(02_Parâmetros!$B$14:$B$17,MATCH(C126,02_Parâmetros!$A$14:$A$17,0)),"")</f>
        <v>10</v>
      </c>
      <c r="N126" s="2" t="str">
        <f aca="false">IF(OR(H126="",M126=""),"",IF(H126&lt;=M126,"Sim","Não"))</f>
        <v>Sim</v>
      </c>
    </row>
    <row r="127" customFormat="false" ht="15" hidden="false" customHeight="false" outlineLevel="0" collapsed="false">
      <c r="A127" s="2" t="s">
        <v>164</v>
      </c>
      <c r="B127" s="3" t="n">
        <v>46272</v>
      </c>
      <c r="C127" s="2" t="s">
        <v>15</v>
      </c>
      <c r="D127" s="2" t="s">
        <v>22</v>
      </c>
      <c r="E127" s="2" t="s">
        <v>23</v>
      </c>
      <c r="F127" s="2" t="s">
        <v>24</v>
      </c>
      <c r="G127" s="2" t="s">
        <v>19</v>
      </c>
      <c r="H127" s="2" t="n">
        <v>0.6</v>
      </c>
      <c r="I127" s="2" t="n">
        <v>20</v>
      </c>
      <c r="J127" s="2" t="s">
        <v>25</v>
      </c>
      <c r="K127" s="2" t="n">
        <v>5</v>
      </c>
      <c r="L127" s="3" t="n">
        <f aca="false">B127-WEEKDAY(B127,2)+1</f>
        <v>46272</v>
      </c>
      <c r="M127" s="4" t="n">
        <f aca="false">IFERROR(INDEX(02_Parâmetros!$B$14:$B$17,MATCH(C127,02_Parâmetros!$A$14:$A$17,0)),"")</f>
        <v>1</v>
      </c>
      <c r="N127" s="2" t="str">
        <f aca="false">IF(OR(H127="",M127=""),"",IF(H127&lt;=M127,"Sim","Não"))</f>
        <v>Sim</v>
      </c>
    </row>
    <row r="128" customFormat="false" ht="15" hidden="false" customHeight="false" outlineLevel="0" collapsed="false">
      <c r="A128" s="2" t="s">
        <v>165</v>
      </c>
      <c r="B128" s="3" t="n">
        <v>46272</v>
      </c>
      <c r="C128" s="2" t="s">
        <v>44</v>
      </c>
      <c r="D128" s="2" t="s">
        <v>16</v>
      </c>
      <c r="E128" s="2" t="s">
        <v>36</v>
      </c>
      <c r="F128" s="2" t="s">
        <v>32</v>
      </c>
      <c r="G128" s="2" t="s">
        <v>19</v>
      </c>
      <c r="H128" s="2" t="n">
        <v>1.4</v>
      </c>
      <c r="I128" s="2" t="n">
        <v>4</v>
      </c>
      <c r="J128" s="2" t="s">
        <v>20</v>
      </c>
      <c r="K128" s="2" t="n">
        <v>4</v>
      </c>
      <c r="L128" s="3" t="n">
        <f aca="false">B128-WEEKDAY(B128,2)+1</f>
        <v>46272</v>
      </c>
      <c r="M128" s="4" t="n">
        <f aca="false">IFERROR(INDEX(02_Parâmetros!$B$14:$B$17,MATCH(C128,02_Parâmetros!$A$14:$A$17,0)),"")</f>
        <v>2</v>
      </c>
      <c r="N128" s="2" t="str">
        <f aca="false">IF(OR(H128="",M128=""),"",IF(H128&lt;=M128,"Sim","Não"))</f>
        <v>Sim</v>
      </c>
    </row>
    <row r="129" customFormat="false" ht="15" hidden="false" customHeight="false" outlineLevel="0" collapsed="false">
      <c r="A129" s="2" t="s">
        <v>166</v>
      </c>
      <c r="B129" s="3" t="n">
        <v>46272</v>
      </c>
      <c r="C129" s="2" t="s">
        <v>15</v>
      </c>
      <c r="D129" s="2" t="s">
        <v>38</v>
      </c>
      <c r="E129" s="2" t="s">
        <v>47</v>
      </c>
      <c r="F129" s="2" t="s">
        <v>32</v>
      </c>
      <c r="G129" s="2" t="s">
        <v>19</v>
      </c>
      <c r="H129" s="2" t="n">
        <v>0.4</v>
      </c>
      <c r="I129" s="2" t="n">
        <v>9.6</v>
      </c>
      <c r="J129" s="2" t="s">
        <v>20</v>
      </c>
      <c r="K129" s="2"/>
      <c r="L129" s="3" t="n">
        <f aca="false">B129-WEEKDAY(B129,2)+1</f>
        <v>46272</v>
      </c>
      <c r="M129" s="4" t="n">
        <f aca="false">IFERROR(INDEX(02_Parâmetros!$B$14:$B$17,MATCH(C129,02_Parâmetros!$A$14:$A$17,0)),"")</f>
        <v>1</v>
      </c>
      <c r="N129" s="2" t="str">
        <f aca="false">IF(OR(H129="",M129=""),"",IF(H129&lt;=M129,"Sim","Não"))</f>
        <v>Sim</v>
      </c>
    </row>
    <row r="130" customFormat="false" ht="15" hidden="false" customHeight="false" outlineLevel="0" collapsed="false">
      <c r="A130" s="2" t="s">
        <v>167</v>
      </c>
      <c r="B130" s="3" t="n">
        <v>46272</v>
      </c>
      <c r="C130" s="2" t="s">
        <v>27</v>
      </c>
      <c r="D130" s="2" t="s">
        <v>16</v>
      </c>
      <c r="E130" s="2" t="s">
        <v>36</v>
      </c>
      <c r="F130" s="2" t="s">
        <v>34</v>
      </c>
      <c r="G130" s="2" t="s">
        <v>19</v>
      </c>
      <c r="H130" s="2" t="n">
        <v>8.7</v>
      </c>
      <c r="I130" s="2" t="n">
        <v>8.5</v>
      </c>
      <c r="J130" s="2" t="s">
        <v>20</v>
      </c>
      <c r="K130" s="2" t="n">
        <v>4</v>
      </c>
      <c r="L130" s="3" t="n">
        <f aca="false">B130-WEEKDAY(B130,2)+1</f>
        <v>46272</v>
      </c>
      <c r="M130" s="4" t="n">
        <f aca="false">IFERROR(INDEX(02_Parâmetros!$B$14:$B$17,MATCH(C130,02_Parâmetros!$A$14:$A$17,0)),"")</f>
        <v>10</v>
      </c>
      <c r="N130" s="2" t="str">
        <f aca="false">IF(OR(H130="",M130=""),"",IF(H130&lt;=M130,"Sim","Não"))</f>
        <v>Sim</v>
      </c>
    </row>
    <row r="131" customFormat="false" ht="15" hidden="false" customHeight="false" outlineLevel="0" collapsed="false">
      <c r="A131" s="2" t="s">
        <v>168</v>
      </c>
      <c r="B131" s="3" t="n">
        <v>46272</v>
      </c>
      <c r="C131" s="2" t="s">
        <v>27</v>
      </c>
      <c r="D131" s="2" t="s">
        <v>38</v>
      </c>
      <c r="E131" s="2" t="s">
        <v>39</v>
      </c>
      <c r="F131" s="2" t="s">
        <v>18</v>
      </c>
      <c r="G131" s="2" t="s">
        <v>19</v>
      </c>
      <c r="H131" s="2" t="n">
        <v>25.6</v>
      </c>
      <c r="I131" s="2" t="n">
        <v>11.1</v>
      </c>
      <c r="J131" s="2" t="s">
        <v>20</v>
      </c>
      <c r="K131" s="2" t="n">
        <v>3</v>
      </c>
      <c r="L131" s="3" t="n">
        <f aca="false">B131-WEEKDAY(B131,2)+1</f>
        <v>46272</v>
      </c>
      <c r="M131" s="4" t="n">
        <f aca="false">IFERROR(INDEX(02_Parâmetros!$B$14:$B$17,MATCH(C131,02_Parâmetros!$A$14:$A$17,0)),"")</f>
        <v>10</v>
      </c>
      <c r="N131" s="2" t="str">
        <f aca="false">IF(OR(H131="",M131=""),"",IF(H131&lt;=M131,"Sim","Não"))</f>
        <v>Não</v>
      </c>
    </row>
    <row r="132" customFormat="false" ht="15" hidden="false" customHeight="false" outlineLevel="0" collapsed="false">
      <c r="A132" s="2" t="s">
        <v>169</v>
      </c>
      <c r="B132" s="3" t="n">
        <v>46272</v>
      </c>
      <c r="C132" s="2" t="s">
        <v>44</v>
      </c>
      <c r="D132" s="2" t="s">
        <v>38</v>
      </c>
      <c r="E132" s="2" t="s">
        <v>39</v>
      </c>
      <c r="F132" s="2" t="s">
        <v>24</v>
      </c>
      <c r="G132" s="2" t="s">
        <v>19</v>
      </c>
      <c r="H132" s="2" t="n">
        <v>1</v>
      </c>
      <c r="I132" s="2" t="n">
        <v>8.8</v>
      </c>
      <c r="J132" s="2" t="s">
        <v>20</v>
      </c>
      <c r="K132" s="2"/>
      <c r="L132" s="3" t="n">
        <f aca="false">B132-WEEKDAY(B132,2)+1</f>
        <v>46272</v>
      </c>
      <c r="M132" s="4" t="n">
        <f aca="false">IFERROR(INDEX(02_Parâmetros!$B$14:$B$17,MATCH(C132,02_Parâmetros!$A$14:$A$17,0)),"")</f>
        <v>2</v>
      </c>
      <c r="N132" s="2" t="str">
        <f aca="false">IF(OR(H132="",M132=""),"",IF(H132&lt;=M132,"Sim","Não"))</f>
        <v>Sim</v>
      </c>
    </row>
    <row r="133" customFormat="false" ht="15" hidden="false" customHeight="false" outlineLevel="0" collapsed="false">
      <c r="A133" s="2" t="s">
        <v>170</v>
      </c>
      <c r="B133" s="3" t="n">
        <v>46272</v>
      </c>
      <c r="C133" s="2" t="s">
        <v>27</v>
      </c>
      <c r="D133" s="2" t="s">
        <v>38</v>
      </c>
      <c r="E133" s="2" t="s">
        <v>56</v>
      </c>
      <c r="F133" s="2" t="s">
        <v>42</v>
      </c>
      <c r="G133" s="2" t="s">
        <v>19</v>
      </c>
      <c r="H133" s="2" t="n">
        <v>5.3</v>
      </c>
      <c r="I133" s="2" t="n">
        <v>10.7</v>
      </c>
      <c r="J133" s="2" t="s">
        <v>20</v>
      </c>
      <c r="K133" s="2" t="n">
        <v>5</v>
      </c>
      <c r="L133" s="3" t="n">
        <f aca="false">B133-WEEKDAY(B133,2)+1</f>
        <v>46272</v>
      </c>
      <c r="M133" s="4" t="n">
        <f aca="false">IFERROR(INDEX(02_Parâmetros!$B$14:$B$17,MATCH(C133,02_Parâmetros!$A$14:$A$17,0)),"")</f>
        <v>10</v>
      </c>
      <c r="N133" s="2" t="str">
        <f aca="false">IF(OR(H133="",M133=""),"",IF(H133&lt;=M133,"Sim","Não"))</f>
        <v>Sim</v>
      </c>
    </row>
    <row r="134" customFormat="false" ht="15" hidden="false" customHeight="false" outlineLevel="0" collapsed="false">
      <c r="A134" s="2" t="s">
        <v>171</v>
      </c>
      <c r="B134" s="3" t="n">
        <v>46272</v>
      </c>
      <c r="C134" s="2" t="s">
        <v>15</v>
      </c>
      <c r="D134" s="2" t="s">
        <v>38</v>
      </c>
      <c r="E134" s="2" t="s">
        <v>47</v>
      </c>
      <c r="F134" s="2" t="s">
        <v>18</v>
      </c>
      <c r="G134" s="2" t="s">
        <v>19</v>
      </c>
      <c r="H134" s="2" t="n">
        <v>1</v>
      </c>
      <c r="I134" s="2" t="n">
        <v>22.7</v>
      </c>
      <c r="J134" s="2" t="s">
        <v>25</v>
      </c>
      <c r="K134" s="2"/>
      <c r="L134" s="3" t="n">
        <f aca="false">B134-WEEKDAY(B134,2)+1</f>
        <v>46272</v>
      </c>
      <c r="M134" s="4" t="n">
        <f aca="false">IFERROR(INDEX(02_Parâmetros!$B$14:$B$17,MATCH(C134,02_Parâmetros!$A$14:$A$17,0)),"")</f>
        <v>1</v>
      </c>
      <c r="N134" s="2" t="str">
        <f aca="false">IF(OR(H134="",M134=""),"",IF(H134&lt;=M134,"Sim","Não"))</f>
        <v>Sim</v>
      </c>
    </row>
    <row r="135" customFormat="false" ht="15" hidden="false" customHeight="false" outlineLevel="0" collapsed="false">
      <c r="A135" s="2" t="s">
        <v>172</v>
      </c>
      <c r="B135" s="3" t="n">
        <v>46272</v>
      </c>
      <c r="C135" s="2" t="s">
        <v>41</v>
      </c>
      <c r="D135" s="2" t="s">
        <v>16</v>
      </c>
      <c r="E135" s="2" t="s">
        <v>36</v>
      </c>
      <c r="F135" s="2" t="s">
        <v>42</v>
      </c>
      <c r="G135" s="2" t="s">
        <v>19</v>
      </c>
      <c r="H135" s="2" t="n">
        <v>137.7</v>
      </c>
      <c r="I135" s="2" t="n">
        <v>14.4</v>
      </c>
      <c r="J135" s="2" t="s">
        <v>25</v>
      </c>
      <c r="K135" s="2"/>
      <c r="L135" s="3" t="n">
        <f aca="false">B135-WEEKDAY(B135,2)+1</f>
        <v>46272</v>
      </c>
      <c r="M135" s="4" t="n">
        <f aca="false">IFERROR(INDEX(02_Parâmetros!$B$14:$B$17,MATCH(C135,02_Parâmetros!$A$14:$A$17,0)),"")</f>
        <v>240</v>
      </c>
      <c r="N135" s="2" t="str">
        <f aca="false">IF(OR(H135="",M135=""),"",IF(H135&lt;=M135,"Sim","Não"))</f>
        <v>Sim</v>
      </c>
    </row>
    <row r="136" customFormat="false" ht="15" hidden="false" customHeight="false" outlineLevel="0" collapsed="false">
      <c r="A136" s="2" t="s">
        <v>173</v>
      </c>
      <c r="B136" s="3" t="n">
        <v>46272</v>
      </c>
      <c r="C136" s="2" t="s">
        <v>27</v>
      </c>
      <c r="D136" s="2" t="s">
        <v>38</v>
      </c>
      <c r="E136" s="2" t="s">
        <v>47</v>
      </c>
      <c r="F136" s="2" t="s">
        <v>34</v>
      </c>
      <c r="G136" s="2" t="s">
        <v>19</v>
      </c>
      <c r="H136" s="2" t="n">
        <v>7.6</v>
      </c>
      <c r="I136" s="2" t="n">
        <v>6.4</v>
      </c>
      <c r="J136" s="2" t="s">
        <v>20</v>
      </c>
      <c r="K136" s="2"/>
      <c r="L136" s="3" t="n">
        <f aca="false">B136-WEEKDAY(B136,2)+1</f>
        <v>46272</v>
      </c>
      <c r="M136" s="4" t="n">
        <f aca="false">IFERROR(INDEX(02_Parâmetros!$B$14:$B$17,MATCH(C136,02_Parâmetros!$A$14:$A$17,0)),"")</f>
        <v>10</v>
      </c>
      <c r="N136" s="2" t="str">
        <f aca="false">IF(OR(H136="",M136=""),"",IF(H136&lt;=M136,"Sim","Não"))</f>
        <v>Sim</v>
      </c>
    </row>
    <row r="137" customFormat="false" ht="15" hidden="false" customHeight="false" outlineLevel="0" collapsed="false">
      <c r="A137" s="2" t="s">
        <v>174</v>
      </c>
      <c r="B137" s="3" t="n">
        <v>46272</v>
      </c>
      <c r="C137" s="2" t="s">
        <v>44</v>
      </c>
      <c r="D137" s="2" t="s">
        <v>16</v>
      </c>
      <c r="E137" s="2" t="s">
        <v>36</v>
      </c>
      <c r="F137" s="2" t="s">
        <v>34</v>
      </c>
      <c r="G137" s="2" t="s">
        <v>19</v>
      </c>
      <c r="H137" s="2" t="n">
        <v>1.4</v>
      </c>
      <c r="I137" s="2" t="n">
        <v>9.2</v>
      </c>
      <c r="J137" s="2" t="s">
        <v>20</v>
      </c>
      <c r="K137" s="2" t="n">
        <v>4</v>
      </c>
      <c r="L137" s="3" t="n">
        <f aca="false">B137-WEEKDAY(B137,2)+1</f>
        <v>46272</v>
      </c>
      <c r="M137" s="4" t="n">
        <f aca="false">IFERROR(INDEX(02_Parâmetros!$B$14:$B$17,MATCH(C137,02_Parâmetros!$A$14:$A$17,0)),"")</f>
        <v>2</v>
      </c>
      <c r="N137" s="2" t="str">
        <f aca="false">IF(OR(H137="",M137=""),"",IF(H137&lt;=M137,"Sim","Não"))</f>
        <v>Sim</v>
      </c>
    </row>
    <row r="138" customFormat="false" ht="15" hidden="false" customHeight="false" outlineLevel="0" collapsed="false">
      <c r="A138" s="2" t="s">
        <v>175</v>
      </c>
      <c r="B138" s="3" t="n">
        <v>46272</v>
      </c>
      <c r="C138" s="2" t="s">
        <v>27</v>
      </c>
      <c r="D138" s="2" t="s">
        <v>38</v>
      </c>
      <c r="E138" s="2" t="s">
        <v>39</v>
      </c>
      <c r="F138" s="2" t="s">
        <v>42</v>
      </c>
      <c r="G138" s="2" t="s">
        <v>19</v>
      </c>
      <c r="H138" s="2" t="n">
        <v>7.9</v>
      </c>
      <c r="I138" s="2" t="n">
        <v>4.5</v>
      </c>
      <c r="J138" s="2" t="s">
        <v>20</v>
      </c>
      <c r="K138" s="2"/>
      <c r="L138" s="3" t="n">
        <f aca="false">B138-WEEKDAY(B138,2)+1</f>
        <v>46272</v>
      </c>
      <c r="M138" s="4" t="n">
        <f aca="false">IFERROR(INDEX(02_Parâmetros!$B$14:$B$17,MATCH(C138,02_Parâmetros!$A$14:$A$17,0)),"")</f>
        <v>10</v>
      </c>
      <c r="N138" s="2" t="str">
        <f aca="false">IF(OR(H138="",M138=""),"",IF(H138&lt;=M138,"Sim","Não"))</f>
        <v>Sim</v>
      </c>
    </row>
    <row r="139" customFormat="false" ht="15" hidden="false" customHeight="false" outlineLevel="0" collapsed="false">
      <c r="A139" s="2" t="s">
        <v>176</v>
      </c>
      <c r="B139" s="3" t="n">
        <v>46272</v>
      </c>
      <c r="C139" s="2" t="s">
        <v>41</v>
      </c>
      <c r="D139" s="2" t="s">
        <v>22</v>
      </c>
      <c r="E139" s="2" t="s">
        <v>28</v>
      </c>
      <c r="F139" s="2" t="s">
        <v>32</v>
      </c>
      <c r="G139" s="2" t="s">
        <v>19</v>
      </c>
      <c r="H139" s="2" t="n">
        <v>80.8</v>
      </c>
      <c r="I139" s="2" t="n">
        <v>12.5</v>
      </c>
      <c r="J139" s="2" t="s">
        <v>20</v>
      </c>
      <c r="K139" s="2"/>
      <c r="L139" s="3" t="n">
        <f aca="false">B139-WEEKDAY(B139,2)+1</f>
        <v>46272</v>
      </c>
      <c r="M139" s="4" t="n">
        <f aca="false">IFERROR(INDEX(02_Parâmetros!$B$14:$B$17,MATCH(C139,02_Parâmetros!$A$14:$A$17,0)),"")</f>
        <v>240</v>
      </c>
      <c r="N139" s="2" t="str">
        <f aca="false">IF(OR(H139="",M139=""),"",IF(H139&lt;=M139,"Sim","Não"))</f>
        <v>Sim</v>
      </c>
    </row>
    <row r="140" customFormat="false" ht="15" hidden="false" customHeight="false" outlineLevel="0" collapsed="false">
      <c r="A140" s="2" t="s">
        <v>177</v>
      </c>
      <c r="B140" s="3" t="n">
        <v>46272</v>
      </c>
      <c r="C140" s="2" t="s">
        <v>44</v>
      </c>
      <c r="D140" s="2" t="s">
        <v>16</v>
      </c>
      <c r="E140" s="2" t="s">
        <v>31</v>
      </c>
      <c r="F140" s="2" t="s">
        <v>18</v>
      </c>
      <c r="G140" s="2" t="s">
        <v>19</v>
      </c>
      <c r="H140" s="2" t="n">
        <v>1.8</v>
      </c>
      <c r="I140" s="2" t="n">
        <v>8.7</v>
      </c>
      <c r="J140" s="2" t="s">
        <v>20</v>
      </c>
      <c r="K140" s="2" t="n">
        <v>5</v>
      </c>
      <c r="L140" s="3" t="n">
        <f aca="false">B140-WEEKDAY(B140,2)+1</f>
        <v>46272</v>
      </c>
      <c r="M140" s="4" t="n">
        <f aca="false">IFERROR(INDEX(02_Parâmetros!$B$14:$B$17,MATCH(C140,02_Parâmetros!$A$14:$A$17,0)),"")</f>
        <v>2</v>
      </c>
      <c r="N140" s="2" t="str">
        <f aca="false">IF(OR(H140="",M140=""),"",IF(H140&lt;=M140,"Sim","Não"))</f>
        <v>Sim</v>
      </c>
    </row>
    <row r="141" customFormat="false" ht="15" hidden="false" customHeight="false" outlineLevel="0" collapsed="false">
      <c r="A141" s="2" t="s">
        <v>178</v>
      </c>
      <c r="B141" s="3" t="n">
        <v>46272</v>
      </c>
      <c r="C141" s="2" t="s">
        <v>27</v>
      </c>
      <c r="D141" s="2" t="s">
        <v>38</v>
      </c>
      <c r="E141" s="2" t="s">
        <v>39</v>
      </c>
      <c r="F141" s="2" t="s">
        <v>32</v>
      </c>
      <c r="G141" s="2" t="s">
        <v>19</v>
      </c>
      <c r="H141" s="2" t="n">
        <v>6.9</v>
      </c>
      <c r="I141" s="2" t="n">
        <v>5.3</v>
      </c>
      <c r="J141" s="2" t="s">
        <v>20</v>
      </c>
      <c r="K141" s="2"/>
      <c r="L141" s="3" t="n">
        <f aca="false">B141-WEEKDAY(B141,2)+1</f>
        <v>46272</v>
      </c>
      <c r="M141" s="4" t="n">
        <f aca="false">IFERROR(INDEX(02_Parâmetros!$B$14:$B$17,MATCH(C141,02_Parâmetros!$A$14:$A$17,0)),"")</f>
        <v>10</v>
      </c>
      <c r="N141" s="2" t="str">
        <f aca="false">IF(OR(H141="",M141=""),"",IF(H141&lt;=M141,"Sim","Não"))</f>
        <v>Sim</v>
      </c>
    </row>
    <row r="142" customFormat="false" ht="15" hidden="false" customHeight="false" outlineLevel="0" collapsed="false">
      <c r="A142" s="2" t="s">
        <v>179</v>
      </c>
      <c r="B142" s="3" t="n">
        <v>46272</v>
      </c>
      <c r="C142" s="2" t="s">
        <v>44</v>
      </c>
      <c r="D142" s="2" t="s">
        <v>16</v>
      </c>
      <c r="E142" s="2" t="s">
        <v>31</v>
      </c>
      <c r="F142" s="2" t="s">
        <v>18</v>
      </c>
      <c r="G142" s="2" t="s">
        <v>19</v>
      </c>
      <c r="H142" s="2" t="n">
        <v>1.2</v>
      </c>
      <c r="I142" s="2" t="n">
        <v>13.1</v>
      </c>
      <c r="J142" s="2" t="s">
        <v>20</v>
      </c>
      <c r="K142" s="2"/>
      <c r="L142" s="3" t="n">
        <f aca="false">B142-WEEKDAY(B142,2)+1</f>
        <v>46272</v>
      </c>
      <c r="M142" s="4" t="n">
        <f aca="false">IFERROR(INDEX(02_Parâmetros!$B$14:$B$17,MATCH(C142,02_Parâmetros!$A$14:$A$17,0)),"")</f>
        <v>2</v>
      </c>
      <c r="N142" s="2" t="str">
        <f aca="false">IF(OR(H142="",M142=""),"",IF(H142&lt;=M142,"Sim","Não"))</f>
        <v>Sim</v>
      </c>
    </row>
    <row r="143" customFormat="false" ht="15" hidden="false" customHeight="false" outlineLevel="0" collapsed="false">
      <c r="A143" s="2" t="s">
        <v>180</v>
      </c>
      <c r="B143" s="3" t="n">
        <v>46272</v>
      </c>
      <c r="C143" s="2" t="s">
        <v>27</v>
      </c>
      <c r="D143" s="2" t="s">
        <v>38</v>
      </c>
      <c r="E143" s="2" t="s">
        <v>47</v>
      </c>
      <c r="F143" s="2" t="s">
        <v>24</v>
      </c>
      <c r="G143" s="2" t="s">
        <v>19</v>
      </c>
      <c r="H143" s="2" t="n">
        <v>8.5</v>
      </c>
      <c r="I143" s="2" t="n">
        <v>7.7</v>
      </c>
      <c r="J143" s="2" t="s">
        <v>20</v>
      </c>
      <c r="K143" s="2"/>
      <c r="L143" s="3" t="n">
        <f aca="false">B143-WEEKDAY(B143,2)+1</f>
        <v>46272</v>
      </c>
      <c r="M143" s="4" t="n">
        <f aca="false">IFERROR(INDEX(02_Parâmetros!$B$14:$B$17,MATCH(C143,02_Parâmetros!$A$14:$A$17,0)),"")</f>
        <v>10</v>
      </c>
      <c r="N143" s="2" t="str">
        <f aca="false">IF(OR(H143="",M143=""),"",IF(H143&lt;=M143,"Sim","Não"))</f>
        <v>Sim</v>
      </c>
    </row>
    <row r="144" customFormat="false" ht="15" hidden="false" customHeight="false" outlineLevel="0" collapsed="false">
      <c r="A144" s="2" t="s">
        <v>181</v>
      </c>
      <c r="B144" s="3" t="n">
        <v>46272</v>
      </c>
      <c r="C144" s="2" t="s">
        <v>44</v>
      </c>
      <c r="D144" s="2" t="s">
        <v>16</v>
      </c>
      <c r="E144" s="2" t="s">
        <v>31</v>
      </c>
      <c r="F144" s="2" t="s">
        <v>70</v>
      </c>
      <c r="G144" s="2" t="s">
        <v>19</v>
      </c>
      <c r="H144" s="2" t="n">
        <v>1</v>
      </c>
      <c r="I144" s="2" t="n">
        <v>6.1</v>
      </c>
      <c r="J144" s="2" t="s">
        <v>20</v>
      </c>
      <c r="K144" s="2"/>
      <c r="L144" s="3" t="n">
        <f aca="false">B144-WEEKDAY(B144,2)+1</f>
        <v>46272</v>
      </c>
      <c r="M144" s="4" t="n">
        <f aca="false">IFERROR(INDEX(02_Parâmetros!$B$14:$B$17,MATCH(C144,02_Parâmetros!$A$14:$A$17,0)),"")</f>
        <v>2</v>
      </c>
      <c r="N144" s="2" t="str">
        <f aca="false">IF(OR(H144="",M144=""),"",IF(H144&lt;=M144,"Sim","Não"))</f>
        <v>Sim</v>
      </c>
    </row>
    <row r="145" customFormat="false" ht="15" hidden="false" customHeight="false" outlineLevel="0" collapsed="false">
      <c r="A145" s="2" t="s">
        <v>182</v>
      </c>
      <c r="B145" s="3" t="n">
        <v>46272</v>
      </c>
      <c r="C145" s="2" t="s">
        <v>27</v>
      </c>
      <c r="D145" s="2" t="s">
        <v>16</v>
      </c>
      <c r="E145" s="2" t="s">
        <v>31</v>
      </c>
      <c r="F145" s="2" t="s">
        <v>32</v>
      </c>
      <c r="G145" s="2" t="s">
        <v>78</v>
      </c>
      <c r="H145" s="2" t="n">
        <v>27.4</v>
      </c>
      <c r="I145" s="2" t="n">
        <v>10.5</v>
      </c>
      <c r="J145" s="2"/>
      <c r="K145" s="2"/>
      <c r="L145" s="3" t="n">
        <f aca="false">B145-WEEKDAY(B145,2)+1</f>
        <v>46272</v>
      </c>
      <c r="M145" s="4" t="n">
        <f aca="false">IFERROR(INDEX(02_Parâmetros!$B$14:$B$17,MATCH(C145,02_Parâmetros!$A$14:$A$17,0)),"")</f>
        <v>10</v>
      </c>
      <c r="N145" s="2" t="str">
        <f aca="false">IF(OR(H145="",M145=""),"",IF(H145&lt;=M145,"Sim","Não"))</f>
        <v>Não</v>
      </c>
    </row>
    <row r="146" customFormat="false" ht="15" hidden="false" customHeight="false" outlineLevel="0" collapsed="false">
      <c r="A146" s="2" t="s">
        <v>183</v>
      </c>
      <c r="B146" s="3" t="n">
        <v>46272</v>
      </c>
      <c r="C146" s="2" t="s">
        <v>41</v>
      </c>
      <c r="D146" s="2" t="s">
        <v>38</v>
      </c>
      <c r="E146" s="2" t="s">
        <v>56</v>
      </c>
      <c r="F146" s="2" t="s">
        <v>70</v>
      </c>
      <c r="G146" s="2" t="s">
        <v>19</v>
      </c>
      <c r="H146" s="2" t="n">
        <v>161.3</v>
      </c>
      <c r="I146" s="2" t="n">
        <v>10</v>
      </c>
      <c r="J146" s="2" t="s">
        <v>20</v>
      </c>
      <c r="K146" s="2"/>
      <c r="L146" s="3" t="n">
        <f aca="false">B146-WEEKDAY(B146,2)+1</f>
        <v>46272</v>
      </c>
      <c r="M146" s="4" t="n">
        <f aca="false">IFERROR(INDEX(02_Parâmetros!$B$14:$B$17,MATCH(C146,02_Parâmetros!$A$14:$A$17,0)),"")</f>
        <v>240</v>
      </c>
      <c r="N146" s="2" t="str">
        <f aca="false">IF(OR(H146="",M146=""),"",IF(H146&lt;=M146,"Sim","Não"))</f>
        <v>Sim</v>
      </c>
    </row>
    <row r="147" customFormat="false" ht="15" hidden="false" customHeight="false" outlineLevel="0" collapsed="false">
      <c r="A147" s="2" t="s">
        <v>184</v>
      </c>
      <c r="B147" s="3" t="n">
        <v>46272</v>
      </c>
      <c r="C147" s="2" t="s">
        <v>44</v>
      </c>
      <c r="D147" s="2" t="s">
        <v>38</v>
      </c>
      <c r="E147" s="2" t="s">
        <v>47</v>
      </c>
      <c r="F147" s="2" t="s">
        <v>70</v>
      </c>
      <c r="G147" s="2" t="s">
        <v>19</v>
      </c>
      <c r="H147" s="2" t="n">
        <v>0.8</v>
      </c>
      <c r="I147" s="2" t="n">
        <v>7.4</v>
      </c>
      <c r="J147" s="2" t="s">
        <v>20</v>
      </c>
      <c r="K147" s="2" t="n">
        <v>1</v>
      </c>
      <c r="L147" s="3" t="n">
        <f aca="false">B147-WEEKDAY(B147,2)+1</f>
        <v>46272</v>
      </c>
      <c r="M147" s="4" t="n">
        <f aca="false">IFERROR(INDEX(02_Parâmetros!$B$14:$B$17,MATCH(C147,02_Parâmetros!$A$14:$A$17,0)),"")</f>
        <v>2</v>
      </c>
      <c r="N147" s="2" t="str">
        <f aca="false">IF(OR(H147="",M147=""),"",IF(H147&lt;=M147,"Sim","Não"))</f>
        <v>Sim</v>
      </c>
    </row>
    <row r="148" customFormat="false" ht="15" hidden="false" customHeight="false" outlineLevel="0" collapsed="false">
      <c r="A148" s="2" t="s">
        <v>185</v>
      </c>
      <c r="B148" s="3" t="n">
        <v>46272</v>
      </c>
      <c r="C148" s="2" t="s">
        <v>44</v>
      </c>
      <c r="D148" s="2" t="s">
        <v>22</v>
      </c>
      <c r="E148" s="2" t="s">
        <v>23</v>
      </c>
      <c r="F148" s="2" t="s">
        <v>42</v>
      </c>
      <c r="G148" s="2" t="s">
        <v>19</v>
      </c>
      <c r="H148" s="2" t="n">
        <v>1.3</v>
      </c>
      <c r="I148" s="2" t="n">
        <v>11</v>
      </c>
      <c r="J148" s="2" t="s">
        <v>20</v>
      </c>
      <c r="K148" s="2"/>
      <c r="L148" s="3" t="n">
        <f aca="false">B148-WEEKDAY(B148,2)+1</f>
        <v>46272</v>
      </c>
      <c r="M148" s="4" t="n">
        <f aca="false">IFERROR(INDEX(02_Parâmetros!$B$14:$B$17,MATCH(C148,02_Parâmetros!$A$14:$A$17,0)),"")</f>
        <v>2</v>
      </c>
      <c r="N148" s="2" t="str">
        <f aca="false">IF(OR(H148="",M148=""),"",IF(H148&lt;=M148,"Sim","Não"))</f>
        <v>Sim</v>
      </c>
    </row>
    <row r="149" customFormat="false" ht="15" hidden="false" customHeight="false" outlineLevel="0" collapsed="false">
      <c r="A149" s="2" t="s">
        <v>186</v>
      </c>
      <c r="B149" s="3" t="n">
        <v>46272</v>
      </c>
      <c r="C149" s="2" t="s">
        <v>27</v>
      </c>
      <c r="D149" s="2" t="s">
        <v>38</v>
      </c>
      <c r="E149" s="2" t="s">
        <v>47</v>
      </c>
      <c r="F149" s="2" t="s">
        <v>32</v>
      </c>
      <c r="G149" s="2" t="s">
        <v>19</v>
      </c>
      <c r="H149" s="2" t="n">
        <v>8.4</v>
      </c>
      <c r="I149" s="2" t="n">
        <v>7.6</v>
      </c>
      <c r="J149" s="2" t="s">
        <v>20</v>
      </c>
      <c r="K149" s="2" t="n">
        <v>5</v>
      </c>
      <c r="L149" s="3" t="n">
        <f aca="false">B149-WEEKDAY(B149,2)+1</f>
        <v>46272</v>
      </c>
      <c r="M149" s="4" t="n">
        <f aca="false">IFERROR(INDEX(02_Parâmetros!$B$14:$B$17,MATCH(C149,02_Parâmetros!$A$14:$A$17,0)),"")</f>
        <v>10</v>
      </c>
      <c r="N149" s="2" t="str">
        <f aca="false">IF(OR(H149="",M149=""),"",IF(H149&lt;=M149,"Sim","Não"))</f>
        <v>Sim</v>
      </c>
    </row>
    <row r="150" customFormat="false" ht="15" hidden="false" customHeight="false" outlineLevel="0" collapsed="false">
      <c r="A150" s="2" t="s">
        <v>187</v>
      </c>
      <c r="B150" s="3" t="n">
        <v>46273</v>
      </c>
      <c r="C150" s="2" t="s">
        <v>44</v>
      </c>
      <c r="D150" s="2" t="s">
        <v>22</v>
      </c>
      <c r="E150" s="2" t="s">
        <v>23</v>
      </c>
      <c r="F150" s="2" t="s">
        <v>18</v>
      </c>
      <c r="G150" s="2" t="s">
        <v>19</v>
      </c>
      <c r="H150" s="2" t="n">
        <v>1.7</v>
      </c>
      <c r="I150" s="2" t="n">
        <v>11.2</v>
      </c>
      <c r="J150" s="2" t="s">
        <v>20</v>
      </c>
      <c r="K150" s="2"/>
      <c r="L150" s="3" t="n">
        <f aca="false">B150-WEEKDAY(B150,2)+1</f>
        <v>46272</v>
      </c>
      <c r="M150" s="4" t="n">
        <f aca="false">IFERROR(INDEX(02_Parâmetros!$B$14:$B$17,MATCH(C150,02_Parâmetros!$A$14:$A$17,0)),"")</f>
        <v>2</v>
      </c>
      <c r="N150" s="2" t="str">
        <f aca="false">IF(OR(H150="",M150=""),"",IF(H150&lt;=M150,"Sim","Não"))</f>
        <v>Sim</v>
      </c>
    </row>
    <row r="151" customFormat="false" ht="15" hidden="false" customHeight="false" outlineLevel="0" collapsed="false">
      <c r="A151" s="2" t="s">
        <v>188</v>
      </c>
      <c r="B151" s="3" t="n">
        <v>46273</v>
      </c>
      <c r="C151" s="2" t="s">
        <v>15</v>
      </c>
      <c r="D151" s="2" t="s">
        <v>22</v>
      </c>
      <c r="E151" s="2" t="s">
        <v>23</v>
      </c>
      <c r="F151" s="2" t="s">
        <v>34</v>
      </c>
      <c r="G151" s="2" t="s">
        <v>19</v>
      </c>
      <c r="H151" s="2" t="n">
        <v>0.8</v>
      </c>
      <c r="I151" s="2" t="n">
        <v>8.4</v>
      </c>
      <c r="J151" s="2" t="s">
        <v>20</v>
      </c>
      <c r="K151" s="2" t="n">
        <v>5</v>
      </c>
      <c r="L151" s="3" t="n">
        <f aca="false">B151-WEEKDAY(B151,2)+1</f>
        <v>46272</v>
      </c>
      <c r="M151" s="4" t="n">
        <f aca="false">IFERROR(INDEX(02_Parâmetros!$B$14:$B$17,MATCH(C151,02_Parâmetros!$A$14:$A$17,0)),"")</f>
        <v>1</v>
      </c>
      <c r="N151" s="2" t="str">
        <f aca="false">IF(OR(H151="",M151=""),"",IF(H151&lt;=M151,"Sim","Não"))</f>
        <v>Sim</v>
      </c>
    </row>
    <row r="152" customFormat="false" ht="15" hidden="false" customHeight="false" outlineLevel="0" collapsed="false">
      <c r="A152" s="2" t="s">
        <v>189</v>
      </c>
      <c r="B152" s="3" t="n">
        <v>46273</v>
      </c>
      <c r="C152" s="2" t="s">
        <v>44</v>
      </c>
      <c r="D152" s="2" t="s">
        <v>38</v>
      </c>
      <c r="E152" s="2" t="s">
        <v>47</v>
      </c>
      <c r="F152" s="2" t="s">
        <v>18</v>
      </c>
      <c r="G152" s="2" t="s">
        <v>19</v>
      </c>
      <c r="H152" s="2" t="n">
        <v>0.6</v>
      </c>
      <c r="I152" s="2" t="n">
        <v>11.2</v>
      </c>
      <c r="J152" s="2" t="s">
        <v>20</v>
      </c>
      <c r="K152" s="2" t="n">
        <v>5</v>
      </c>
      <c r="L152" s="3" t="n">
        <f aca="false">B152-WEEKDAY(B152,2)+1</f>
        <v>46272</v>
      </c>
      <c r="M152" s="4" t="n">
        <f aca="false">IFERROR(INDEX(02_Parâmetros!$B$14:$B$17,MATCH(C152,02_Parâmetros!$A$14:$A$17,0)),"")</f>
        <v>2</v>
      </c>
      <c r="N152" s="2" t="str">
        <f aca="false">IF(OR(H152="",M152=""),"",IF(H152&lt;=M152,"Sim","Não"))</f>
        <v>Sim</v>
      </c>
    </row>
    <row r="153" customFormat="false" ht="15" hidden="false" customHeight="false" outlineLevel="0" collapsed="false">
      <c r="A153" s="2" t="s">
        <v>190</v>
      </c>
      <c r="B153" s="3" t="n">
        <v>46273</v>
      </c>
      <c r="C153" s="2" t="s">
        <v>15</v>
      </c>
      <c r="D153" s="2" t="s">
        <v>16</v>
      </c>
      <c r="E153" s="2" t="s">
        <v>31</v>
      </c>
      <c r="F153" s="2" t="s">
        <v>18</v>
      </c>
      <c r="G153" s="2" t="s">
        <v>19</v>
      </c>
      <c r="H153" s="2" t="n">
        <v>1.7</v>
      </c>
      <c r="I153" s="2" t="n">
        <v>16.4</v>
      </c>
      <c r="J153" s="2" t="s">
        <v>25</v>
      </c>
      <c r="K153" s="2" t="n">
        <v>5</v>
      </c>
      <c r="L153" s="3" t="n">
        <f aca="false">B153-WEEKDAY(B153,2)+1</f>
        <v>46272</v>
      </c>
      <c r="M153" s="4" t="n">
        <f aca="false">IFERROR(INDEX(02_Parâmetros!$B$14:$B$17,MATCH(C153,02_Parâmetros!$A$14:$A$17,0)),"")</f>
        <v>1</v>
      </c>
      <c r="N153" s="2" t="str">
        <f aca="false">IF(OR(H153="",M153=""),"",IF(H153&lt;=M153,"Sim","Não"))</f>
        <v>Não</v>
      </c>
    </row>
    <row r="154" customFormat="false" ht="15" hidden="false" customHeight="false" outlineLevel="0" collapsed="false">
      <c r="A154" s="2" t="s">
        <v>191</v>
      </c>
      <c r="B154" s="3" t="n">
        <v>46273</v>
      </c>
      <c r="C154" s="2" t="s">
        <v>44</v>
      </c>
      <c r="D154" s="2" t="s">
        <v>22</v>
      </c>
      <c r="E154" s="2" t="s">
        <v>23</v>
      </c>
      <c r="F154" s="2" t="s">
        <v>18</v>
      </c>
      <c r="G154" s="2" t="s">
        <v>19</v>
      </c>
      <c r="H154" s="2" t="n">
        <v>0.7</v>
      </c>
      <c r="I154" s="2" t="n">
        <v>10.1</v>
      </c>
      <c r="J154" s="2" t="s">
        <v>20</v>
      </c>
      <c r="K154" s="2" t="n">
        <v>5</v>
      </c>
      <c r="L154" s="3" t="n">
        <f aca="false">B154-WEEKDAY(B154,2)+1</f>
        <v>46272</v>
      </c>
      <c r="M154" s="4" t="n">
        <f aca="false">IFERROR(INDEX(02_Parâmetros!$B$14:$B$17,MATCH(C154,02_Parâmetros!$A$14:$A$17,0)),"")</f>
        <v>2</v>
      </c>
      <c r="N154" s="2" t="str">
        <f aca="false">IF(OR(H154="",M154=""),"",IF(H154&lt;=M154,"Sim","Não"))</f>
        <v>Sim</v>
      </c>
    </row>
    <row r="155" customFormat="false" ht="15" hidden="false" customHeight="false" outlineLevel="0" collapsed="false">
      <c r="A155" s="2" t="s">
        <v>192</v>
      </c>
      <c r="B155" s="3" t="n">
        <v>46273</v>
      </c>
      <c r="C155" s="2" t="s">
        <v>44</v>
      </c>
      <c r="D155" s="2" t="s">
        <v>16</v>
      </c>
      <c r="E155" s="2" t="s">
        <v>36</v>
      </c>
      <c r="F155" s="2" t="s">
        <v>18</v>
      </c>
      <c r="G155" s="2" t="s">
        <v>19</v>
      </c>
      <c r="H155" s="2" t="n">
        <v>1.5</v>
      </c>
      <c r="I155" s="2" t="n">
        <v>7.4</v>
      </c>
      <c r="J155" s="2" t="s">
        <v>20</v>
      </c>
      <c r="K155" s="2" t="n">
        <v>5</v>
      </c>
      <c r="L155" s="3" t="n">
        <f aca="false">B155-WEEKDAY(B155,2)+1</f>
        <v>46272</v>
      </c>
      <c r="M155" s="4" t="n">
        <f aca="false">IFERROR(INDEX(02_Parâmetros!$B$14:$B$17,MATCH(C155,02_Parâmetros!$A$14:$A$17,0)),"")</f>
        <v>2</v>
      </c>
      <c r="N155" s="2" t="str">
        <f aca="false">IF(OR(H155="",M155=""),"",IF(H155&lt;=M155,"Sim","Não"))</f>
        <v>Sim</v>
      </c>
    </row>
    <row r="156" customFormat="false" ht="15" hidden="false" customHeight="false" outlineLevel="0" collapsed="false">
      <c r="A156" s="2" t="s">
        <v>193</v>
      </c>
      <c r="B156" s="3" t="n">
        <v>46273</v>
      </c>
      <c r="C156" s="2" t="s">
        <v>15</v>
      </c>
      <c r="D156" s="2" t="s">
        <v>22</v>
      </c>
      <c r="E156" s="2" t="s">
        <v>23</v>
      </c>
      <c r="F156" s="2" t="s">
        <v>24</v>
      </c>
      <c r="G156" s="2" t="s">
        <v>19</v>
      </c>
      <c r="H156" s="2" t="n">
        <v>0.3</v>
      </c>
      <c r="I156" s="2" t="n">
        <v>20.2</v>
      </c>
      <c r="J156" s="2" t="s">
        <v>25</v>
      </c>
      <c r="K156" s="2"/>
      <c r="L156" s="3" t="n">
        <f aca="false">B156-WEEKDAY(B156,2)+1</f>
        <v>46272</v>
      </c>
      <c r="M156" s="4" t="n">
        <f aca="false">IFERROR(INDEX(02_Parâmetros!$B$14:$B$17,MATCH(C156,02_Parâmetros!$A$14:$A$17,0)),"")</f>
        <v>1</v>
      </c>
      <c r="N156" s="2" t="str">
        <f aca="false">IF(OR(H156="",M156=""),"",IF(H156&lt;=M156,"Sim","Não"))</f>
        <v>Sim</v>
      </c>
    </row>
    <row r="157" customFormat="false" ht="15" hidden="false" customHeight="false" outlineLevel="0" collapsed="false">
      <c r="A157" s="2" t="s">
        <v>194</v>
      </c>
      <c r="B157" s="3" t="n">
        <v>46273</v>
      </c>
      <c r="C157" s="2" t="s">
        <v>27</v>
      </c>
      <c r="D157" s="2" t="s">
        <v>22</v>
      </c>
      <c r="E157" s="2" t="s">
        <v>23</v>
      </c>
      <c r="F157" s="2" t="s">
        <v>18</v>
      </c>
      <c r="G157" s="2" t="s">
        <v>19</v>
      </c>
      <c r="H157" s="2" t="n">
        <v>5.9</v>
      </c>
      <c r="I157" s="2" t="n">
        <v>11.9</v>
      </c>
      <c r="J157" s="2" t="s">
        <v>20</v>
      </c>
      <c r="K157" s="2"/>
      <c r="L157" s="3" t="n">
        <f aca="false">B157-WEEKDAY(B157,2)+1</f>
        <v>46272</v>
      </c>
      <c r="M157" s="4" t="n">
        <f aca="false">IFERROR(INDEX(02_Parâmetros!$B$14:$B$17,MATCH(C157,02_Parâmetros!$A$14:$A$17,0)),"")</f>
        <v>10</v>
      </c>
      <c r="N157" s="2" t="str">
        <f aca="false">IF(OR(H157="",M157=""),"",IF(H157&lt;=M157,"Sim","Não"))</f>
        <v>Sim</v>
      </c>
    </row>
    <row r="158" customFormat="false" ht="15" hidden="false" customHeight="false" outlineLevel="0" collapsed="false">
      <c r="A158" s="2" t="s">
        <v>195</v>
      </c>
      <c r="B158" s="3" t="n">
        <v>46273</v>
      </c>
      <c r="C158" s="2" t="s">
        <v>27</v>
      </c>
      <c r="D158" s="2" t="s">
        <v>16</v>
      </c>
      <c r="E158" s="2" t="s">
        <v>36</v>
      </c>
      <c r="F158" s="2" t="s">
        <v>18</v>
      </c>
      <c r="G158" s="2" t="s">
        <v>19</v>
      </c>
      <c r="H158" s="2" t="n">
        <v>5.5</v>
      </c>
      <c r="I158" s="2" t="n">
        <v>7</v>
      </c>
      <c r="J158" s="2" t="s">
        <v>20</v>
      </c>
      <c r="K158" s="2" t="n">
        <v>5</v>
      </c>
      <c r="L158" s="3" t="n">
        <f aca="false">B158-WEEKDAY(B158,2)+1</f>
        <v>46272</v>
      </c>
      <c r="M158" s="4" t="n">
        <f aca="false">IFERROR(INDEX(02_Parâmetros!$B$14:$B$17,MATCH(C158,02_Parâmetros!$A$14:$A$17,0)),"")</f>
        <v>10</v>
      </c>
      <c r="N158" s="2" t="str">
        <f aca="false">IF(OR(H158="",M158=""),"",IF(H158&lt;=M158,"Sim","Não"))</f>
        <v>Sim</v>
      </c>
    </row>
    <row r="159" customFormat="false" ht="15" hidden="false" customHeight="false" outlineLevel="0" collapsed="false">
      <c r="A159" s="2" t="s">
        <v>196</v>
      </c>
      <c r="B159" s="3" t="n">
        <v>46273</v>
      </c>
      <c r="C159" s="2" t="s">
        <v>41</v>
      </c>
      <c r="D159" s="2" t="s">
        <v>16</v>
      </c>
      <c r="E159" s="2" t="s">
        <v>36</v>
      </c>
      <c r="F159" s="2" t="s">
        <v>70</v>
      </c>
      <c r="G159" s="2" t="s">
        <v>19</v>
      </c>
      <c r="H159" s="2" t="n">
        <v>144.3</v>
      </c>
      <c r="I159" s="2" t="n">
        <v>9.2</v>
      </c>
      <c r="J159" s="2" t="s">
        <v>20</v>
      </c>
      <c r="K159" s="2" t="n">
        <v>4</v>
      </c>
      <c r="L159" s="3" t="n">
        <f aca="false">B159-WEEKDAY(B159,2)+1</f>
        <v>46272</v>
      </c>
      <c r="M159" s="4" t="n">
        <f aca="false">IFERROR(INDEX(02_Parâmetros!$B$14:$B$17,MATCH(C159,02_Parâmetros!$A$14:$A$17,0)),"")</f>
        <v>240</v>
      </c>
      <c r="N159" s="2" t="str">
        <f aca="false">IF(OR(H159="",M159=""),"",IF(H159&lt;=M159,"Sim","Não"))</f>
        <v>Sim</v>
      </c>
    </row>
    <row r="160" customFormat="false" ht="15" hidden="false" customHeight="false" outlineLevel="0" collapsed="false">
      <c r="A160" s="2" t="s">
        <v>197</v>
      </c>
      <c r="B160" s="3" t="n">
        <v>46273</v>
      </c>
      <c r="C160" s="2" t="s">
        <v>41</v>
      </c>
      <c r="D160" s="2" t="s">
        <v>38</v>
      </c>
      <c r="E160" s="2" t="s">
        <v>39</v>
      </c>
      <c r="F160" s="2" t="s">
        <v>32</v>
      </c>
      <c r="G160" s="2" t="s">
        <v>19</v>
      </c>
      <c r="H160" s="2"/>
      <c r="I160" s="2" t="n">
        <v>5.7</v>
      </c>
      <c r="J160" s="2" t="s">
        <v>20</v>
      </c>
      <c r="K160" s="2" t="n">
        <v>5</v>
      </c>
      <c r="L160" s="3" t="n">
        <f aca="false">B160-WEEKDAY(B160,2)+1</f>
        <v>46272</v>
      </c>
      <c r="M160" s="4" t="n">
        <f aca="false">IFERROR(INDEX(02_Parâmetros!$B$14:$B$17,MATCH(C160,02_Parâmetros!$A$14:$A$17,0)),"")</f>
        <v>240</v>
      </c>
      <c r="N160" s="2" t="str">
        <f aca="false">IF(OR(H160="",M160=""),"",IF(H160&lt;=M160,"Sim","Não"))</f>
        <v/>
      </c>
    </row>
    <row r="161" customFormat="false" ht="15" hidden="false" customHeight="false" outlineLevel="0" collapsed="false">
      <c r="A161" s="2" t="s">
        <v>198</v>
      </c>
      <c r="B161" s="3" t="n">
        <v>46273</v>
      </c>
      <c r="C161" s="2" t="s">
        <v>44</v>
      </c>
      <c r="D161" s="2" t="s">
        <v>16</v>
      </c>
      <c r="E161" s="2" t="s">
        <v>17</v>
      </c>
      <c r="F161" s="2" t="s">
        <v>18</v>
      </c>
      <c r="G161" s="2" t="s">
        <v>19</v>
      </c>
      <c r="H161" s="2" t="n">
        <v>1.4</v>
      </c>
      <c r="I161" s="2" t="n">
        <v>10</v>
      </c>
      <c r="J161" s="2" t="s">
        <v>25</v>
      </c>
      <c r="K161" s="2" t="n">
        <v>3</v>
      </c>
      <c r="L161" s="3" t="n">
        <f aca="false">B161-WEEKDAY(B161,2)+1</f>
        <v>46272</v>
      </c>
      <c r="M161" s="4" t="n">
        <f aca="false">IFERROR(INDEX(02_Parâmetros!$B$14:$B$17,MATCH(C161,02_Parâmetros!$A$14:$A$17,0)),"")</f>
        <v>2</v>
      </c>
      <c r="N161" s="2" t="str">
        <f aca="false">IF(OR(H161="",M161=""),"",IF(H161&lt;=M161,"Sim","Não"))</f>
        <v>Sim</v>
      </c>
    </row>
    <row r="162" customFormat="false" ht="15" hidden="false" customHeight="false" outlineLevel="0" collapsed="false">
      <c r="A162" s="2" t="s">
        <v>199</v>
      </c>
      <c r="B162" s="3" t="n">
        <v>46273</v>
      </c>
      <c r="C162" s="2" t="s">
        <v>41</v>
      </c>
      <c r="D162" s="2" t="s">
        <v>22</v>
      </c>
      <c r="E162" s="2" t="s">
        <v>28</v>
      </c>
      <c r="F162" s="2" t="s">
        <v>32</v>
      </c>
      <c r="G162" s="2" t="s">
        <v>19</v>
      </c>
      <c r="H162" s="2" t="n">
        <v>112</v>
      </c>
      <c r="I162" s="2" t="n">
        <v>7.9</v>
      </c>
      <c r="J162" s="2" t="s">
        <v>20</v>
      </c>
      <c r="K162" s="2"/>
      <c r="L162" s="3" t="n">
        <f aca="false">B162-WEEKDAY(B162,2)+1</f>
        <v>46272</v>
      </c>
      <c r="M162" s="4" t="n">
        <f aca="false">IFERROR(INDEX(02_Parâmetros!$B$14:$B$17,MATCH(C162,02_Parâmetros!$A$14:$A$17,0)),"")</f>
        <v>240</v>
      </c>
      <c r="N162" s="2" t="str">
        <f aca="false">IF(OR(H162="",M162=""),"",IF(H162&lt;=M162,"Sim","Não"))</f>
        <v>Sim</v>
      </c>
    </row>
    <row r="163" customFormat="false" ht="15" hidden="false" customHeight="false" outlineLevel="0" collapsed="false">
      <c r="A163" s="2" t="s">
        <v>200</v>
      </c>
      <c r="B163" s="3" t="n">
        <v>46273</v>
      </c>
      <c r="C163" s="2" t="s">
        <v>27</v>
      </c>
      <c r="D163" s="2" t="s">
        <v>38</v>
      </c>
      <c r="E163" s="2" t="s">
        <v>56</v>
      </c>
      <c r="F163" s="2" t="s">
        <v>18</v>
      </c>
      <c r="G163" s="2" t="s">
        <v>19</v>
      </c>
      <c r="H163" s="2" t="n">
        <v>10</v>
      </c>
      <c r="I163" s="2" t="n">
        <v>4.6</v>
      </c>
      <c r="J163" s="2" t="s">
        <v>20</v>
      </c>
      <c r="K163" s="2"/>
      <c r="L163" s="3" t="n">
        <f aca="false">B163-WEEKDAY(B163,2)+1</f>
        <v>46272</v>
      </c>
      <c r="M163" s="4" t="n">
        <f aca="false">IFERROR(INDEX(02_Parâmetros!$B$14:$B$17,MATCH(C163,02_Parâmetros!$A$14:$A$17,0)),"")</f>
        <v>10</v>
      </c>
      <c r="N163" s="2" t="str">
        <f aca="false">IF(OR(H163="",M163=""),"",IF(H163&lt;=M163,"Sim","Não"))</f>
        <v>Sim</v>
      </c>
    </row>
    <row r="164" customFormat="false" ht="15" hidden="false" customHeight="false" outlineLevel="0" collapsed="false">
      <c r="A164" s="2" t="s">
        <v>201</v>
      </c>
      <c r="B164" s="3" t="n">
        <v>46273</v>
      </c>
      <c r="C164" s="2" t="s">
        <v>15</v>
      </c>
      <c r="D164" s="2" t="s">
        <v>22</v>
      </c>
      <c r="E164" s="2" t="s">
        <v>28</v>
      </c>
      <c r="F164" s="2" t="s">
        <v>32</v>
      </c>
      <c r="G164" s="2" t="s">
        <v>19</v>
      </c>
      <c r="H164" s="2" t="n">
        <v>0.4</v>
      </c>
      <c r="I164" s="2" t="n">
        <v>10.7</v>
      </c>
      <c r="J164" s="2" t="s">
        <v>25</v>
      </c>
      <c r="K164" s="2"/>
      <c r="L164" s="3" t="n">
        <f aca="false">B164-WEEKDAY(B164,2)+1</f>
        <v>46272</v>
      </c>
      <c r="M164" s="4" t="n">
        <f aca="false">IFERROR(INDEX(02_Parâmetros!$B$14:$B$17,MATCH(C164,02_Parâmetros!$A$14:$A$17,0)),"")</f>
        <v>1</v>
      </c>
      <c r="N164" s="2" t="str">
        <f aca="false">IF(OR(H164="",M164=""),"",IF(H164&lt;=M164,"Sim","Não"))</f>
        <v>Sim</v>
      </c>
    </row>
    <row r="165" customFormat="false" ht="15" hidden="false" customHeight="false" outlineLevel="0" collapsed="false">
      <c r="A165" s="2" t="s">
        <v>202</v>
      </c>
      <c r="B165" s="3" t="n">
        <v>46273</v>
      </c>
      <c r="C165" s="2" t="s">
        <v>27</v>
      </c>
      <c r="D165" s="2" t="s">
        <v>22</v>
      </c>
      <c r="E165" s="2" t="s">
        <v>28</v>
      </c>
      <c r="F165" s="2" t="s">
        <v>42</v>
      </c>
      <c r="G165" s="2" t="s">
        <v>19</v>
      </c>
      <c r="H165" s="2" t="n">
        <v>8.8</v>
      </c>
      <c r="I165" s="2" t="n">
        <v>10.9</v>
      </c>
      <c r="J165" s="2" t="s">
        <v>20</v>
      </c>
      <c r="K165" s="2"/>
      <c r="L165" s="3" t="n">
        <f aca="false">B165-WEEKDAY(B165,2)+1</f>
        <v>46272</v>
      </c>
      <c r="M165" s="4" t="n">
        <f aca="false">IFERROR(INDEX(02_Parâmetros!$B$14:$B$17,MATCH(C165,02_Parâmetros!$A$14:$A$17,0)),"")</f>
        <v>10</v>
      </c>
      <c r="N165" s="2" t="str">
        <f aca="false">IF(OR(H165="",M165=""),"",IF(H165&lt;=M165,"Sim","Não"))</f>
        <v>Sim</v>
      </c>
    </row>
    <row r="166" customFormat="false" ht="15" hidden="false" customHeight="false" outlineLevel="0" collapsed="false">
      <c r="A166" s="2" t="s">
        <v>203</v>
      </c>
      <c r="B166" s="3" t="n">
        <v>46273</v>
      </c>
      <c r="C166" s="2" t="s">
        <v>27</v>
      </c>
      <c r="D166" s="2" t="s">
        <v>22</v>
      </c>
      <c r="E166" s="2" t="s">
        <v>23</v>
      </c>
      <c r="F166" s="2" t="s">
        <v>34</v>
      </c>
      <c r="G166" s="2" t="s">
        <v>19</v>
      </c>
      <c r="H166" s="2" t="n">
        <v>3.2</v>
      </c>
      <c r="I166" s="2" t="n">
        <v>4.7</v>
      </c>
      <c r="J166" s="2" t="s">
        <v>20</v>
      </c>
      <c r="K166" s="2"/>
      <c r="L166" s="3" t="n">
        <f aca="false">B166-WEEKDAY(B166,2)+1</f>
        <v>46272</v>
      </c>
      <c r="M166" s="4" t="n">
        <f aca="false">IFERROR(INDEX(02_Parâmetros!$B$14:$B$17,MATCH(C166,02_Parâmetros!$A$14:$A$17,0)),"")</f>
        <v>10</v>
      </c>
      <c r="N166" s="2" t="str">
        <f aca="false">IF(OR(H166="",M166=""),"",IF(H166&lt;=M166,"Sim","Não"))</f>
        <v>Sim</v>
      </c>
    </row>
    <row r="167" customFormat="false" ht="15" hidden="false" customHeight="false" outlineLevel="0" collapsed="false">
      <c r="A167" s="2" t="s">
        <v>204</v>
      </c>
      <c r="B167" s="3" t="n">
        <v>46273</v>
      </c>
      <c r="C167" s="2" t="s">
        <v>27</v>
      </c>
      <c r="D167" s="2" t="s">
        <v>16</v>
      </c>
      <c r="E167" s="2" t="s">
        <v>31</v>
      </c>
      <c r="F167" s="2" t="s">
        <v>42</v>
      </c>
      <c r="G167" s="2" t="s">
        <v>19</v>
      </c>
      <c r="H167" s="2" t="n">
        <v>8.6</v>
      </c>
      <c r="I167" s="2" t="n">
        <v>5.5</v>
      </c>
      <c r="J167" s="2" t="s">
        <v>20</v>
      </c>
      <c r="K167" s="2"/>
      <c r="L167" s="3" t="n">
        <f aca="false">B167-WEEKDAY(B167,2)+1</f>
        <v>46272</v>
      </c>
      <c r="M167" s="4" t="n">
        <f aca="false">IFERROR(INDEX(02_Parâmetros!$B$14:$B$17,MATCH(C167,02_Parâmetros!$A$14:$A$17,0)),"")</f>
        <v>10</v>
      </c>
      <c r="N167" s="2" t="str">
        <f aca="false">IF(OR(H167="",M167=""),"",IF(H167&lt;=M167,"Sim","Não"))</f>
        <v>Sim</v>
      </c>
    </row>
    <row r="168" customFormat="false" ht="15" hidden="false" customHeight="false" outlineLevel="0" collapsed="false">
      <c r="A168" s="2" t="s">
        <v>205</v>
      </c>
      <c r="B168" s="3" t="n">
        <v>46273</v>
      </c>
      <c r="C168" s="2" t="s">
        <v>44</v>
      </c>
      <c r="D168" s="2" t="s">
        <v>22</v>
      </c>
      <c r="E168" s="2" t="s">
        <v>28</v>
      </c>
      <c r="F168" s="2" t="s">
        <v>24</v>
      </c>
      <c r="G168" s="2" t="s">
        <v>19</v>
      </c>
      <c r="H168" s="2" t="n">
        <v>1.4</v>
      </c>
      <c r="I168" s="2" t="n">
        <v>13.9</v>
      </c>
      <c r="J168" s="2" t="s">
        <v>25</v>
      </c>
      <c r="K168" s="2"/>
      <c r="L168" s="3" t="n">
        <f aca="false">B168-WEEKDAY(B168,2)+1</f>
        <v>46272</v>
      </c>
      <c r="M168" s="4" t="n">
        <f aca="false">IFERROR(INDEX(02_Parâmetros!$B$14:$B$17,MATCH(C168,02_Parâmetros!$A$14:$A$17,0)),"")</f>
        <v>2</v>
      </c>
      <c r="N168" s="2" t="str">
        <f aca="false">IF(OR(H168="",M168=""),"",IF(H168&lt;=M168,"Sim","Não"))</f>
        <v>Sim</v>
      </c>
    </row>
    <row r="169" customFormat="false" ht="15" hidden="false" customHeight="false" outlineLevel="0" collapsed="false">
      <c r="A169" s="2" t="s">
        <v>206</v>
      </c>
      <c r="B169" s="3" t="n">
        <v>46273</v>
      </c>
      <c r="C169" s="2" t="s">
        <v>27</v>
      </c>
      <c r="D169" s="2" t="s">
        <v>22</v>
      </c>
      <c r="E169" s="2" t="s">
        <v>28</v>
      </c>
      <c r="F169" s="2" t="s">
        <v>18</v>
      </c>
      <c r="G169" s="2" t="s">
        <v>19</v>
      </c>
      <c r="H169" s="2" t="n">
        <v>8.4</v>
      </c>
      <c r="I169" s="2" t="n">
        <v>7.4</v>
      </c>
      <c r="J169" s="2" t="s">
        <v>20</v>
      </c>
      <c r="K169" s="2"/>
      <c r="L169" s="3" t="n">
        <f aca="false">B169-WEEKDAY(B169,2)+1</f>
        <v>46272</v>
      </c>
      <c r="M169" s="4" t="n">
        <f aca="false">IFERROR(INDEX(02_Parâmetros!$B$14:$B$17,MATCH(C169,02_Parâmetros!$A$14:$A$17,0)),"")</f>
        <v>10</v>
      </c>
      <c r="N169" s="2" t="str">
        <f aca="false">IF(OR(H169="",M169=""),"",IF(H169&lt;=M169,"Sim","Não"))</f>
        <v>Sim</v>
      </c>
    </row>
    <row r="170" customFormat="false" ht="15" hidden="false" customHeight="false" outlineLevel="0" collapsed="false">
      <c r="A170" s="2" t="s">
        <v>207</v>
      </c>
      <c r="B170" s="3" t="n">
        <v>46273</v>
      </c>
      <c r="C170" s="2" t="s">
        <v>15</v>
      </c>
      <c r="D170" s="2" t="s">
        <v>38</v>
      </c>
      <c r="E170" s="2" t="s">
        <v>56</v>
      </c>
      <c r="F170" s="2" t="s">
        <v>24</v>
      </c>
      <c r="G170" s="2" t="s">
        <v>19</v>
      </c>
      <c r="H170" s="2"/>
      <c r="I170" s="2" t="n">
        <v>10.6</v>
      </c>
      <c r="J170" s="2" t="s">
        <v>20</v>
      </c>
      <c r="K170" s="2" t="n">
        <v>5</v>
      </c>
      <c r="L170" s="3" t="n">
        <f aca="false">B170-WEEKDAY(B170,2)+1</f>
        <v>46272</v>
      </c>
      <c r="M170" s="4" t="n">
        <f aca="false">IFERROR(INDEX(02_Parâmetros!$B$14:$B$17,MATCH(C170,02_Parâmetros!$A$14:$A$17,0)),"")</f>
        <v>1</v>
      </c>
      <c r="N170" s="2" t="str">
        <f aca="false">IF(OR(H170="",M170=""),"",IF(H170&lt;=M170,"Sim","Não"))</f>
        <v/>
      </c>
    </row>
    <row r="171" customFormat="false" ht="15" hidden="false" customHeight="false" outlineLevel="0" collapsed="false">
      <c r="A171" s="2" t="s">
        <v>208</v>
      </c>
      <c r="B171" s="3" t="n">
        <v>46273</v>
      </c>
      <c r="C171" s="2" t="s">
        <v>41</v>
      </c>
      <c r="D171" s="2" t="s">
        <v>38</v>
      </c>
      <c r="E171" s="2" t="s">
        <v>47</v>
      </c>
      <c r="F171" s="2" t="s">
        <v>18</v>
      </c>
      <c r="G171" s="2" t="s">
        <v>19</v>
      </c>
      <c r="H171" s="2" t="n">
        <v>150.4</v>
      </c>
      <c r="I171" s="2" t="n">
        <v>11.3</v>
      </c>
      <c r="J171" s="2" t="s">
        <v>25</v>
      </c>
      <c r="K171" s="2"/>
      <c r="L171" s="3" t="n">
        <f aca="false">B171-WEEKDAY(B171,2)+1</f>
        <v>46272</v>
      </c>
      <c r="M171" s="4" t="n">
        <f aca="false">IFERROR(INDEX(02_Parâmetros!$B$14:$B$17,MATCH(C171,02_Parâmetros!$A$14:$A$17,0)),"")</f>
        <v>240</v>
      </c>
      <c r="N171" s="2" t="str">
        <f aca="false">IF(OR(H171="",M171=""),"",IF(H171&lt;=M171,"Sim","Não"))</f>
        <v>Sim</v>
      </c>
    </row>
    <row r="172" customFormat="false" ht="15" hidden="false" customHeight="false" outlineLevel="0" collapsed="false">
      <c r="A172" s="2" t="s">
        <v>209</v>
      </c>
      <c r="B172" s="3" t="n">
        <v>46273</v>
      </c>
      <c r="C172" s="2" t="s">
        <v>15</v>
      </c>
      <c r="D172" s="2" t="s">
        <v>22</v>
      </c>
      <c r="E172" s="2" t="s">
        <v>28</v>
      </c>
      <c r="F172" s="2" t="s">
        <v>42</v>
      </c>
      <c r="G172" s="2" t="s">
        <v>19</v>
      </c>
      <c r="H172" s="2" t="n">
        <v>0.8</v>
      </c>
      <c r="I172" s="2" t="n">
        <v>9.6</v>
      </c>
      <c r="J172" s="2" t="s">
        <v>25</v>
      </c>
      <c r="K172" s="2"/>
      <c r="L172" s="3" t="n">
        <f aca="false">B172-WEEKDAY(B172,2)+1</f>
        <v>46272</v>
      </c>
      <c r="M172" s="4" t="n">
        <f aca="false">IFERROR(INDEX(02_Parâmetros!$B$14:$B$17,MATCH(C172,02_Parâmetros!$A$14:$A$17,0)),"")</f>
        <v>1</v>
      </c>
      <c r="N172" s="2" t="str">
        <f aca="false">IF(OR(H172="",M172=""),"",IF(H172&lt;=M172,"Sim","Não"))</f>
        <v>Sim</v>
      </c>
    </row>
    <row r="173" customFormat="false" ht="15" hidden="false" customHeight="false" outlineLevel="0" collapsed="false">
      <c r="A173" s="2" t="s">
        <v>210</v>
      </c>
      <c r="B173" s="3" t="n">
        <v>46273</v>
      </c>
      <c r="C173" s="2" t="s">
        <v>41</v>
      </c>
      <c r="D173" s="2" t="s">
        <v>16</v>
      </c>
      <c r="E173" s="2" t="s">
        <v>17</v>
      </c>
      <c r="F173" s="2" t="s">
        <v>18</v>
      </c>
      <c r="G173" s="2" t="s">
        <v>19</v>
      </c>
      <c r="H173" s="2" t="n">
        <v>118.6</v>
      </c>
      <c r="I173" s="2" t="n">
        <v>10.4</v>
      </c>
      <c r="J173" s="2" t="s">
        <v>20</v>
      </c>
      <c r="K173" s="2" t="n">
        <v>5</v>
      </c>
      <c r="L173" s="3" t="n">
        <f aca="false">B173-WEEKDAY(B173,2)+1</f>
        <v>46272</v>
      </c>
      <c r="M173" s="4" t="n">
        <f aca="false">IFERROR(INDEX(02_Parâmetros!$B$14:$B$17,MATCH(C173,02_Parâmetros!$A$14:$A$17,0)),"")</f>
        <v>240</v>
      </c>
      <c r="N173" s="2" t="str">
        <f aca="false">IF(OR(H173="",M173=""),"",IF(H173&lt;=M173,"Sim","Não"))</f>
        <v>Sim</v>
      </c>
    </row>
    <row r="174" customFormat="false" ht="15" hidden="false" customHeight="false" outlineLevel="0" collapsed="false">
      <c r="A174" s="2" t="s">
        <v>211</v>
      </c>
      <c r="B174" s="3" t="n">
        <v>46273</v>
      </c>
      <c r="C174" s="2" t="s">
        <v>27</v>
      </c>
      <c r="D174" s="2" t="s">
        <v>22</v>
      </c>
      <c r="E174" s="2" t="s">
        <v>28</v>
      </c>
      <c r="F174" s="2" t="s">
        <v>32</v>
      </c>
      <c r="G174" s="2" t="s">
        <v>19</v>
      </c>
      <c r="H174" s="2" t="n">
        <v>2.7</v>
      </c>
      <c r="I174" s="2" t="n">
        <v>6.7</v>
      </c>
      <c r="J174" s="2" t="s">
        <v>20</v>
      </c>
      <c r="K174" s="2"/>
      <c r="L174" s="3" t="n">
        <f aca="false">B174-WEEKDAY(B174,2)+1</f>
        <v>46272</v>
      </c>
      <c r="M174" s="4" t="n">
        <f aca="false">IFERROR(INDEX(02_Parâmetros!$B$14:$B$17,MATCH(C174,02_Parâmetros!$A$14:$A$17,0)),"")</f>
        <v>10</v>
      </c>
      <c r="N174" s="2" t="str">
        <f aca="false">IF(OR(H174="",M174=""),"",IF(H174&lt;=M174,"Sim","Não"))</f>
        <v>Sim</v>
      </c>
    </row>
    <row r="175" customFormat="false" ht="15" hidden="false" customHeight="false" outlineLevel="0" collapsed="false">
      <c r="A175" s="2" t="s">
        <v>212</v>
      </c>
      <c r="B175" s="3" t="n">
        <v>46274</v>
      </c>
      <c r="C175" s="2" t="s">
        <v>44</v>
      </c>
      <c r="D175" s="2" t="s">
        <v>22</v>
      </c>
      <c r="E175" s="2" t="s">
        <v>28</v>
      </c>
      <c r="F175" s="2" t="s">
        <v>42</v>
      </c>
      <c r="G175" s="2" t="s">
        <v>19</v>
      </c>
      <c r="H175" s="2" t="n">
        <v>2.3</v>
      </c>
      <c r="I175" s="2" t="n">
        <v>5.8</v>
      </c>
      <c r="J175" s="2" t="s">
        <v>20</v>
      </c>
      <c r="K175" s="2"/>
      <c r="L175" s="3" t="n">
        <f aca="false">B175-WEEKDAY(B175,2)+1</f>
        <v>46272</v>
      </c>
      <c r="M175" s="4" t="n">
        <f aca="false">IFERROR(INDEX(02_Parâmetros!$B$14:$B$17,MATCH(C175,02_Parâmetros!$A$14:$A$17,0)),"")</f>
        <v>2</v>
      </c>
      <c r="N175" s="2" t="str">
        <f aca="false">IF(OR(H175="",M175=""),"",IF(H175&lt;=M175,"Sim","Não"))</f>
        <v>Não</v>
      </c>
    </row>
    <row r="176" customFormat="false" ht="15" hidden="false" customHeight="false" outlineLevel="0" collapsed="false">
      <c r="A176" s="2" t="s">
        <v>213</v>
      </c>
      <c r="B176" s="3" t="n">
        <v>46274</v>
      </c>
      <c r="C176" s="2" t="s">
        <v>41</v>
      </c>
      <c r="D176" s="2" t="s">
        <v>22</v>
      </c>
      <c r="E176" s="2" t="s">
        <v>28</v>
      </c>
      <c r="F176" s="2" t="s">
        <v>24</v>
      </c>
      <c r="G176" s="2" t="s">
        <v>19</v>
      </c>
      <c r="H176" s="2" t="n">
        <v>166.7</v>
      </c>
      <c r="I176" s="2" t="n">
        <v>14.8</v>
      </c>
      <c r="J176" s="2" t="s">
        <v>20</v>
      </c>
      <c r="K176" s="2"/>
      <c r="L176" s="3" t="n">
        <f aca="false">B176-WEEKDAY(B176,2)+1</f>
        <v>46272</v>
      </c>
      <c r="M176" s="4" t="n">
        <f aca="false">IFERROR(INDEX(02_Parâmetros!$B$14:$B$17,MATCH(C176,02_Parâmetros!$A$14:$A$17,0)),"")</f>
        <v>240</v>
      </c>
      <c r="N176" s="2" t="str">
        <f aca="false">IF(OR(H176="",M176=""),"",IF(H176&lt;=M176,"Sim","Não"))</f>
        <v>Sim</v>
      </c>
    </row>
    <row r="177" customFormat="false" ht="15" hidden="false" customHeight="false" outlineLevel="0" collapsed="false">
      <c r="A177" s="2" t="s">
        <v>214</v>
      </c>
      <c r="B177" s="3" t="n">
        <v>46274</v>
      </c>
      <c r="C177" s="2" t="s">
        <v>41</v>
      </c>
      <c r="D177" s="2" t="s">
        <v>16</v>
      </c>
      <c r="E177" s="2" t="s">
        <v>17</v>
      </c>
      <c r="F177" s="2" t="s">
        <v>34</v>
      </c>
      <c r="G177" s="2" t="s">
        <v>19</v>
      </c>
      <c r="H177" s="2" t="n">
        <v>529.6</v>
      </c>
      <c r="I177" s="2" t="n">
        <v>11.7</v>
      </c>
      <c r="J177" s="2" t="s">
        <v>25</v>
      </c>
      <c r="K177" s="2"/>
      <c r="L177" s="3" t="n">
        <f aca="false">B177-WEEKDAY(B177,2)+1</f>
        <v>46272</v>
      </c>
      <c r="M177" s="4" t="n">
        <f aca="false">IFERROR(INDEX(02_Parâmetros!$B$14:$B$17,MATCH(C177,02_Parâmetros!$A$14:$A$17,0)),"")</f>
        <v>240</v>
      </c>
      <c r="N177" s="2" t="str">
        <f aca="false">IF(OR(H177="",M177=""),"",IF(H177&lt;=M177,"Sim","Não"))</f>
        <v>Não</v>
      </c>
    </row>
    <row r="178" customFormat="false" ht="15" hidden="false" customHeight="false" outlineLevel="0" collapsed="false">
      <c r="A178" s="2" t="s">
        <v>215</v>
      </c>
      <c r="B178" s="3" t="n">
        <v>46274</v>
      </c>
      <c r="C178" s="2" t="s">
        <v>27</v>
      </c>
      <c r="D178" s="2" t="s">
        <v>38</v>
      </c>
      <c r="E178" s="2" t="s">
        <v>56</v>
      </c>
      <c r="F178" s="2" t="s">
        <v>32</v>
      </c>
      <c r="G178" s="2" t="s">
        <v>19</v>
      </c>
      <c r="H178" s="2" t="n">
        <v>6.1</v>
      </c>
      <c r="I178" s="2" t="n">
        <v>13.3</v>
      </c>
      <c r="J178" s="2" t="s">
        <v>20</v>
      </c>
      <c r="K178" s="2" t="n">
        <v>4</v>
      </c>
      <c r="L178" s="3" t="n">
        <f aca="false">B178-WEEKDAY(B178,2)+1</f>
        <v>46272</v>
      </c>
      <c r="M178" s="4" t="n">
        <f aca="false">IFERROR(INDEX(02_Parâmetros!$B$14:$B$17,MATCH(C178,02_Parâmetros!$A$14:$A$17,0)),"")</f>
        <v>10</v>
      </c>
      <c r="N178" s="2" t="str">
        <f aca="false">IF(OR(H178="",M178=""),"",IF(H178&lt;=M178,"Sim","Não"))</f>
        <v>Sim</v>
      </c>
    </row>
    <row r="179" customFormat="false" ht="15" hidden="false" customHeight="false" outlineLevel="0" collapsed="false">
      <c r="A179" s="2" t="s">
        <v>216</v>
      </c>
      <c r="B179" s="3" t="n">
        <v>46274</v>
      </c>
      <c r="C179" s="2" t="s">
        <v>44</v>
      </c>
      <c r="D179" s="2" t="s">
        <v>38</v>
      </c>
      <c r="E179" s="2" t="s">
        <v>39</v>
      </c>
      <c r="F179" s="2" t="s">
        <v>32</v>
      </c>
      <c r="G179" s="2" t="s">
        <v>19</v>
      </c>
      <c r="H179" s="2" t="n">
        <v>1.6</v>
      </c>
      <c r="I179" s="2" t="n">
        <v>6</v>
      </c>
      <c r="J179" s="2" t="s">
        <v>20</v>
      </c>
      <c r="K179" s="2" t="n">
        <v>5</v>
      </c>
      <c r="L179" s="3" t="n">
        <f aca="false">B179-WEEKDAY(B179,2)+1</f>
        <v>46272</v>
      </c>
      <c r="M179" s="4" t="n">
        <f aca="false">IFERROR(INDEX(02_Parâmetros!$B$14:$B$17,MATCH(C179,02_Parâmetros!$A$14:$A$17,0)),"")</f>
        <v>2</v>
      </c>
      <c r="N179" s="2" t="str">
        <f aca="false">IF(OR(H179="",M179=""),"",IF(H179&lt;=M179,"Sim","Não"))</f>
        <v>Sim</v>
      </c>
    </row>
    <row r="180" customFormat="false" ht="15" hidden="false" customHeight="false" outlineLevel="0" collapsed="false">
      <c r="A180" s="2" t="s">
        <v>217</v>
      </c>
      <c r="B180" s="3" t="n">
        <v>46274</v>
      </c>
      <c r="C180" s="2" t="s">
        <v>27</v>
      </c>
      <c r="D180" s="2" t="s">
        <v>22</v>
      </c>
      <c r="E180" s="2" t="s">
        <v>28</v>
      </c>
      <c r="F180" s="2" t="s">
        <v>32</v>
      </c>
      <c r="G180" s="2" t="s">
        <v>19</v>
      </c>
      <c r="H180" s="2" t="n">
        <v>8.1</v>
      </c>
      <c r="I180" s="2" t="n">
        <v>8.7</v>
      </c>
      <c r="J180" s="2" t="s">
        <v>20</v>
      </c>
      <c r="K180" s="2"/>
      <c r="L180" s="3" t="n">
        <f aca="false">B180-WEEKDAY(B180,2)+1</f>
        <v>46272</v>
      </c>
      <c r="M180" s="4" t="n">
        <f aca="false">IFERROR(INDEX(02_Parâmetros!$B$14:$B$17,MATCH(C180,02_Parâmetros!$A$14:$A$17,0)),"")</f>
        <v>10</v>
      </c>
      <c r="N180" s="2" t="str">
        <f aca="false">IF(OR(H180="",M180=""),"",IF(H180&lt;=M180,"Sim","Não"))</f>
        <v>Sim</v>
      </c>
    </row>
    <row r="181" customFormat="false" ht="15" hidden="false" customHeight="false" outlineLevel="0" collapsed="false">
      <c r="A181" s="2" t="s">
        <v>218</v>
      </c>
      <c r="B181" s="3" t="n">
        <v>46274</v>
      </c>
      <c r="C181" s="2" t="s">
        <v>15</v>
      </c>
      <c r="D181" s="2" t="s">
        <v>16</v>
      </c>
      <c r="E181" s="2" t="s">
        <v>17</v>
      </c>
      <c r="F181" s="2" t="s">
        <v>24</v>
      </c>
      <c r="G181" s="2" t="s">
        <v>19</v>
      </c>
      <c r="H181" s="2" t="n">
        <v>0.9</v>
      </c>
      <c r="I181" s="2" t="n">
        <v>18.6</v>
      </c>
      <c r="J181" s="2" t="s">
        <v>25</v>
      </c>
      <c r="K181" s="2"/>
      <c r="L181" s="3" t="n">
        <f aca="false">B181-WEEKDAY(B181,2)+1</f>
        <v>46272</v>
      </c>
      <c r="M181" s="4" t="n">
        <f aca="false">IFERROR(INDEX(02_Parâmetros!$B$14:$B$17,MATCH(C181,02_Parâmetros!$A$14:$A$17,0)),"")</f>
        <v>1</v>
      </c>
      <c r="N181" s="2" t="str">
        <f aca="false">IF(OR(H181="",M181=""),"",IF(H181&lt;=M181,"Sim","Não"))</f>
        <v>Sim</v>
      </c>
    </row>
    <row r="182" customFormat="false" ht="15" hidden="false" customHeight="false" outlineLevel="0" collapsed="false">
      <c r="A182" s="2" t="s">
        <v>219</v>
      </c>
      <c r="B182" s="3" t="n">
        <v>46274</v>
      </c>
      <c r="C182" s="2" t="s">
        <v>15</v>
      </c>
      <c r="D182" s="2" t="s">
        <v>38</v>
      </c>
      <c r="E182" s="2" t="s">
        <v>56</v>
      </c>
      <c r="F182" s="2" t="s">
        <v>42</v>
      </c>
      <c r="G182" s="2" t="s">
        <v>19</v>
      </c>
      <c r="H182" s="2" t="n">
        <v>0.3</v>
      </c>
      <c r="I182" s="2" t="n">
        <v>13.6</v>
      </c>
      <c r="J182" s="2" t="s">
        <v>20</v>
      </c>
      <c r="K182" s="2" t="n">
        <v>5</v>
      </c>
      <c r="L182" s="3" t="n">
        <f aca="false">B182-WEEKDAY(B182,2)+1</f>
        <v>46272</v>
      </c>
      <c r="M182" s="4" t="n">
        <f aca="false">IFERROR(INDEX(02_Parâmetros!$B$14:$B$17,MATCH(C182,02_Parâmetros!$A$14:$A$17,0)),"")</f>
        <v>1</v>
      </c>
      <c r="N182" s="2" t="str">
        <f aca="false">IF(OR(H182="",M182=""),"",IF(H182&lt;=M182,"Sim","Não"))</f>
        <v>Sim</v>
      </c>
    </row>
    <row r="183" customFormat="false" ht="15" hidden="false" customHeight="false" outlineLevel="0" collapsed="false">
      <c r="A183" s="2" t="s">
        <v>220</v>
      </c>
      <c r="B183" s="3" t="n">
        <v>46274</v>
      </c>
      <c r="C183" s="2" t="s">
        <v>27</v>
      </c>
      <c r="D183" s="2" t="s">
        <v>22</v>
      </c>
      <c r="E183" s="2" t="s">
        <v>28</v>
      </c>
      <c r="F183" s="2" t="s">
        <v>32</v>
      </c>
      <c r="G183" s="2" t="s">
        <v>19</v>
      </c>
      <c r="H183" s="2" t="n">
        <v>7.4</v>
      </c>
      <c r="I183" s="2" t="n">
        <v>5.8</v>
      </c>
      <c r="J183" s="2" t="s">
        <v>20</v>
      </c>
      <c r="K183" s="2" t="n">
        <v>4</v>
      </c>
      <c r="L183" s="3" t="n">
        <f aca="false">B183-WEEKDAY(B183,2)+1</f>
        <v>46272</v>
      </c>
      <c r="M183" s="4" t="n">
        <f aca="false">IFERROR(INDEX(02_Parâmetros!$B$14:$B$17,MATCH(C183,02_Parâmetros!$A$14:$A$17,0)),"")</f>
        <v>10</v>
      </c>
      <c r="N183" s="2" t="str">
        <f aca="false">IF(OR(H183="",M183=""),"",IF(H183&lt;=M183,"Sim","Não"))</f>
        <v>Sim</v>
      </c>
    </row>
    <row r="184" customFormat="false" ht="15" hidden="false" customHeight="false" outlineLevel="0" collapsed="false">
      <c r="A184" s="2" t="s">
        <v>221</v>
      </c>
      <c r="B184" s="3" t="n">
        <v>46274</v>
      </c>
      <c r="C184" s="2" t="s">
        <v>44</v>
      </c>
      <c r="D184" s="2" t="s">
        <v>16</v>
      </c>
      <c r="E184" s="2" t="s">
        <v>17</v>
      </c>
      <c r="F184" s="2" t="s">
        <v>18</v>
      </c>
      <c r="G184" s="2" t="s">
        <v>19</v>
      </c>
      <c r="H184" s="2" t="n">
        <v>1.7</v>
      </c>
      <c r="I184" s="2" t="n">
        <v>9</v>
      </c>
      <c r="J184" s="2" t="s">
        <v>20</v>
      </c>
      <c r="K184" s="2" t="n">
        <v>5</v>
      </c>
      <c r="L184" s="3" t="n">
        <f aca="false">B184-WEEKDAY(B184,2)+1</f>
        <v>46272</v>
      </c>
      <c r="M184" s="4" t="n">
        <f aca="false">IFERROR(INDEX(02_Parâmetros!$B$14:$B$17,MATCH(C184,02_Parâmetros!$A$14:$A$17,0)),"")</f>
        <v>2</v>
      </c>
      <c r="N184" s="2" t="str">
        <f aca="false">IF(OR(H184="",M184=""),"",IF(H184&lt;=M184,"Sim","Não"))</f>
        <v>Sim</v>
      </c>
    </row>
    <row r="185" customFormat="false" ht="15" hidden="false" customHeight="false" outlineLevel="0" collapsed="false">
      <c r="A185" s="2" t="s">
        <v>222</v>
      </c>
      <c r="B185" s="3" t="n">
        <v>46274</v>
      </c>
      <c r="C185" s="2" t="s">
        <v>27</v>
      </c>
      <c r="D185" s="2" t="s">
        <v>38</v>
      </c>
      <c r="E185" s="2" t="s">
        <v>39</v>
      </c>
      <c r="F185" s="2" t="s">
        <v>70</v>
      </c>
      <c r="G185" s="2" t="s">
        <v>19</v>
      </c>
      <c r="H185" s="2" t="n">
        <v>16.9</v>
      </c>
      <c r="I185" s="2" t="n">
        <v>5.6</v>
      </c>
      <c r="J185" s="2" t="s">
        <v>20</v>
      </c>
      <c r="K185" s="2"/>
      <c r="L185" s="3" t="n">
        <f aca="false">B185-WEEKDAY(B185,2)+1</f>
        <v>46272</v>
      </c>
      <c r="M185" s="4" t="n">
        <f aca="false">IFERROR(INDEX(02_Parâmetros!$B$14:$B$17,MATCH(C185,02_Parâmetros!$A$14:$A$17,0)),"")</f>
        <v>10</v>
      </c>
      <c r="N185" s="2" t="str">
        <f aca="false">IF(OR(H185="",M185=""),"",IF(H185&lt;=M185,"Sim","Não"))</f>
        <v>Não</v>
      </c>
    </row>
    <row r="186" customFormat="false" ht="15" hidden="false" customHeight="false" outlineLevel="0" collapsed="false">
      <c r="A186" s="2" t="s">
        <v>223</v>
      </c>
      <c r="B186" s="3" t="n">
        <v>46274</v>
      </c>
      <c r="C186" s="2" t="s">
        <v>27</v>
      </c>
      <c r="D186" s="2" t="s">
        <v>22</v>
      </c>
      <c r="E186" s="2" t="s">
        <v>23</v>
      </c>
      <c r="F186" s="2" t="s">
        <v>34</v>
      </c>
      <c r="G186" s="2" t="s">
        <v>19</v>
      </c>
      <c r="H186" s="2" t="n">
        <v>7.6</v>
      </c>
      <c r="I186" s="2" t="n">
        <v>10.6</v>
      </c>
      <c r="J186" s="2" t="s">
        <v>20</v>
      </c>
      <c r="K186" s="2" t="n">
        <v>5</v>
      </c>
      <c r="L186" s="3" t="n">
        <f aca="false">B186-WEEKDAY(B186,2)+1</f>
        <v>46272</v>
      </c>
      <c r="M186" s="4" t="n">
        <f aca="false">IFERROR(INDEX(02_Parâmetros!$B$14:$B$17,MATCH(C186,02_Parâmetros!$A$14:$A$17,0)),"")</f>
        <v>10</v>
      </c>
      <c r="N186" s="2" t="str">
        <f aca="false">IF(OR(H186="",M186=""),"",IF(H186&lt;=M186,"Sim","Não"))</f>
        <v>Sim</v>
      </c>
    </row>
    <row r="187" customFormat="false" ht="15" hidden="false" customHeight="false" outlineLevel="0" collapsed="false">
      <c r="A187" s="2" t="s">
        <v>224</v>
      </c>
      <c r="B187" s="3" t="n">
        <v>46274</v>
      </c>
      <c r="C187" s="2" t="s">
        <v>27</v>
      </c>
      <c r="D187" s="2" t="s">
        <v>38</v>
      </c>
      <c r="E187" s="2" t="s">
        <v>47</v>
      </c>
      <c r="F187" s="2" t="s">
        <v>24</v>
      </c>
      <c r="G187" s="2" t="s">
        <v>19</v>
      </c>
      <c r="H187" s="2" t="n">
        <v>8.2</v>
      </c>
      <c r="I187" s="2" t="n">
        <v>5.9</v>
      </c>
      <c r="J187" s="2" t="s">
        <v>20</v>
      </c>
      <c r="K187" s="2" t="n">
        <v>5</v>
      </c>
      <c r="L187" s="3" t="n">
        <f aca="false">B187-WEEKDAY(B187,2)+1</f>
        <v>46272</v>
      </c>
      <c r="M187" s="4" t="n">
        <f aca="false">IFERROR(INDEX(02_Parâmetros!$B$14:$B$17,MATCH(C187,02_Parâmetros!$A$14:$A$17,0)),"")</f>
        <v>10</v>
      </c>
      <c r="N187" s="2" t="str">
        <f aca="false">IF(OR(H187="",M187=""),"",IF(H187&lt;=M187,"Sim","Não"))</f>
        <v>Sim</v>
      </c>
    </row>
    <row r="188" customFormat="false" ht="15" hidden="false" customHeight="false" outlineLevel="0" collapsed="false">
      <c r="A188" s="2" t="s">
        <v>225</v>
      </c>
      <c r="B188" s="3" t="n">
        <v>46274</v>
      </c>
      <c r="C188" s="2" t="s">
        <v>41</v>
      </c>
      <c r="D188" s="2" t="s">
        <v>16</v>
      </c>
      <c r="E188" s="2" t="s">
        <v>36</v>
      </c>
      <c r="F188" s="2" t="s">
        <v>32</v>
      </c>
      <c r="G188" s="2" t="s">
        <v>19</v>
      </c>
      <c r="H188" s="2" t="n">
        <v>211.1</v>
      </c>
      <c r="I188" s="2" t="n">
        <v>7.3</v>
      </c>
      <c r="J188" s="2" t="s">
        <v>20</v>
      </c>
      <c r="K188" s="2"/>
      <c r="L188" s="3" t="n">
        <f aca="false">B188-WEEKDAY(B188,2)+1</f>
        <v>46272</v>
      </c>
      <c r="M188" s="4" t="n">
        <f aca="false">IFERROR(INDEX(02_Parâmetros!$B$14:$B$17,MATCH(C188,02_Parâmetros!$A$14:$A$17,0)),"")</f>
        <v>240</v>
      </c>
      <c r="N188" s="2" t="str">
        <f aca="false">IF(OR(H188="",M188=""),"",IF(H188&lt;=M188,"Sim","Não"))</f>
        <v>Sim</v>
      </c>
    </row>
    <row r="189" customFormat="false" ht="15" hidden="false" customHeight="false" outlineLevel="0" collapsed="false">
      <c r="A189" s="2" t="s">
        <v>226</v>
      </c>
      <c r="B189" s="3" t="n">
        <v>46274</v>
      </c>
      <c r="C189" s="2" t="s">
        <v>41</v>
      </c>
      <c r="D189" s="2" t="s">
        <v>38</v>
      </c>
      <c r="E189" s="2" t="s">
        <v>39</v>
      </c>
      <c r="F189" s="2" t="s">
        <v>34</v>
      </c>
      <c r="G189" s="2" t="s">
        <v>19</v>
      </c>
      <c r="H189" s="2" t="n">
        <v>297.1</v>
      </c>
      <c r="I189" s="2" t="n">
        <v>10.2</v>
      </c>
      <c r="J189" s="2" t="s">
        <v>20</v>
      </c>
      <c r="K189" s="2"/>
      <c r="L189" s="3" t="n">
        <f aca="false">B189-WEEKDAY(B189,2)+1</f>
        <v>46272</v>
      </c>
      <c r="M189" s="4" t="n">
        <f aca="false">IFERROR(INDEX(02_Parâmetros!$B$14:$B$17,MATCH(C189,02_Parâmetros!$A$14:$A$17,0)),"")</f>
        <v>240</v>
      </c>
      <c r="N189" s="2" t="str">
        <f aca="false">IF(OR(H189="",M189=""),"",IF(H189&lt;=M189,"Sim","Não"))</f>
        <v>Não</v>
      </c>
    </row>
    <row r="190" customFormat="false" ht="15" hidden="false" customHeight="false" outlineLevel="0" collapsed="false">
      <c r="A190" s="2" t="s">
        <v>227</v>
      </c>
      <c r="B190" s="3" t="n">
        <v>46274</v>
      </c>
      <c r="C190" s="2" t="s">
        <v>41</v>
      </c>
      <c r="D190" s="2" t="s">
        <v>22</v>
      </c>
      <c r="E190" s="2" t="s">
        <v>28</v>
      </c>
      <c r="F190" s="2" t="s">
        <v>32</v>
      </c>
      <c r="G190" s="2" t="s">
        <v>19</v>
      </c>
      <c r="H190" s="2" t="n">
        <v>170.8</v>
      </c>
      <c r="I190" s="2" t="n">
        <v>10.5</v>
      </c>
      <c r="J190" s="2" t="s">
        <v>20</v>
      </c>
      <c r="K190" s="2"/>
      <c r="L190" s="3" t="n">
        <f aca="false">B190-WEEKDAY(B190,2)+1</f>
        <v>46272</v>
      </c>
      <c r="M190" s="4" t="n">
        <f aca="false">IFERROR(INDEX(02_Parâmetros!$B$14:$B$17,MATCH(C190,02_Parâmetros!$A$14:$A$17,0)),"")</f>
        <v>240</v>
      </c>
      <c r="N190" s="2" t="str">
        <f aca="false">IF(OR(H190="",M190=""),"",IF(H190&lt;=M190,"Sim","Não"))</f>
        <v>Sim</v>
      </c>
    </row>
    <row r="191" customFormat="false" ht="15" hidden="false" customHeight="false" outlineLevel="0" collapsed="false">
      <c r="A191" s="2" t="s">
        <v>228</v>
      </c>
      <c r="B191" s="3" t="n">
        <v>46274</v>
      </c>
      <c r="C191" s="2" t="s">
        <v>44</v>
      </c>
      <c r="D191" s="2" t="s">
        <v>22</v>
      </c>
      <c r="E191" s="2" t="s">
        <v>23</v>
      </c>
      <c r="F191" s="2" t="s">
        <v>32</v>
      </c>
      <c r="G191" s="2" t="s">
        <v>19</v>
      </c>
      <c r="H191" s="2" t="n">
        <v>1.6</v>
      </c>
      <c r="I191" s="2" t="n">
        <v>8.1</v>
      </c>
      <c r="J191" s="2" t="s">
        <v>25</v>
      </c>
      <c r="K191" s="2" t="n">
        <v>5</v>
      </c>
      <c r="L191" s="3" t="n">
        <f aca="false">B191-WEEKDAY(B191,2)+1</f>
        <v>46272</v>
      </c>
      <c r="M191" s="4" t="n">
        <f aca="false">IFERROR(INDEX(02_Parâmetros!$B$14:$B$17,MATCH(C191,02_Parâmetros!$A$14:$A$17,0)),"")</f>
        <v>2</v>
      </c>
      <c r="N191" s="2" t="str">
        <f aca="false">IF(OR(H191="",M191=""),"",IF(H191&lt;=M191,"Sim","Não"))</f>
        <v>Sim</v>
      </c>
    </row>
    <row r="192" customFormat="false" ht="15" hidden="false" customHeight="false" outlineLevel="0" collapsed="false">
      <c r="A192" s="2" t="s">
        <v>229</v>
      </c>
      <c r="B192" s="3" t="n">
        <v>46274</v>
      </c>
      <c r="C192" s="2" t="s">
        <v>44</v>
      </c>
      <c r="D192" s="2" t="s">
        <v>16</v>
      </c>
      <c r="E192" s="2" t="s">
        <v>17</v>
      </c>
      <c r="F192" s="2" t="s">
        <v>18</v>
      </c>
      <c r="G192" s="2" t="s">
        <v>19</v>
      </c>
      <c r="H192" s="2" t="n">
        <v>0.5</v>
      </c>
      <c r="I192" s="2" t="n">
        <v>9.1</v>
      </c>
      <c r="J192" s="2" t="s">
        <v>25</v>
      </c>
      <c r="K192" s="2"/>
      <c r="L192" s="3" t="n">
        <f aca="false">B192-WEEKDAY(B192,2)+1</f>
        <v>46272</v>
      </c>
      <c r="M192" s="4" t="n">
        <f aca="false">IFERROR(INDEX(02_Parâmetros!$B$14:$B$17,MATCH(C192,02_Parâmetros!$A$14:$A$17,0)),"")</f>
        <v>2</v>
      </c>
      <c r="N192" s="2" t="str">
        <f aca="false">IF(OR(H192="",M192=""),"",IF(H192&lt;=M192,"Sim","Não"))</f>
        <v>Sim</v>
      </c>
    </row>
    <row r="193" customFormat="false" ht="15" hidden="false" customHeight="false" outlineLevel="0" collapsed="false">
      <c r="A193" s="2" t="s">
        <v>230</v>
      </c>
      <c r="B193" s="3" t="n">
        <v>46274</v>
      </c>
      <c r="C193" s="2" t="s">
        <v>27</v>
      </c>
      <c r="D193" s="2" t="s">
        <v>38</v>
      </c>
      <c r="E193" s="2" t="s">
        <v>39</v>
      </c>
      <c r="F193" s="2" t="s">
        <v>70</v>
      </c>
      <c r="G193" s="2" t="s">
        <v>19</v>
      </c>
      <c r="H193" s="2" t="n">
        <v>7.6</v>
      </c>
      <c r="I193" s="2" t="n">
        <v>7.4</v>
      </c>
      <c r="J193" s="2" t="s">
        <v>20</v>
      </c>
      <c r="K193" s="2"/>
      <c r="L193" s="3" t="n">
        <f aca="false">B193-WEEKDAY(B193,2)+1</f>
        <v>46272</v>
      </c>
      <c r="M193" s="4" t="n">
        <f aca="false">IFERROR(INDEX(02_Parâmetros!$B$14:$B$17,MATCH(C193,02_Parâmetros!$A$14:$A$17,0)),"")</f>
        <v>10</v>
      </c>
      <c r="N193" s="2" t="str">
        <f aca="false">IF(OR(H193="",M193=""),"",IF(H193&lt;=M193,"Sim","Não"))</f>
        <v>Sim</v>
      </c>
    </row>
    <row r="194" customFormat="false" ht="15" hidden="false" customHeight="false" outlineLevel="0" collapsed="false">
      <c r="A194" s="2" t="s">
        <v>231</v>
      </c>
      <c r="B194" s="3" t="n">
        <v>46274</v>
      </c>
      <c r="C194" s="2" t="s">
        <v>27</v>
      </c>
      <c r="D194" s="2" t="s">
        <v>22</v>
      </c>
      <c r="E194" s="2" t="s">
        <v>28</v>
      </c>
      <c r="F194" s="2" t="s">
        <v>42</v>
      </c>
      <c r="G194" s="2" t="s">
        <v>19</v>
      </c>
      <c r="H194" s="2" t="n">
        <v>7.9</v>
      </c>
      <c r="I194" s="2" t="n">
        <v>5.5</v>
      </c>
      <c r="J194" s="2" t="s">
        <v>20</v>
      </c>
      <c r="K194" s="2"/>
      <c r="L194" s="3" t="n">
        <f aca="false">B194-WEEKDAY(B194,2)+1</f>
        <v>46272</v>
      </c>
      <c r="M194" s="4" t="n">
        <f aca="false">IFERROR(INDEX(02_Parâmetros!$B$14:$B$17,MATCH(C194,02_Parâmetros!$A$14:$A$17,0)),"")</f>
        <v>10</v>
      </c>
      <c r="N194" s="2" t="str">
        <f aca="false">IF(OR(H194="",M194=""),"",IF(H194&lt;=M194,"Sim","Não"))</f>
        <v>Sim</v>
      </c>
    </row>
    <row r="195" customFormat="false" ht="15" hidden="false" customHeight="false" outlineLevel="0" collapsed="false">
      <c r="A195" s="2" t="s">
        <v>232</v>
      </c>
      <c r="B195" s="3" t="n">
        <v>46274</v>
      </c>
      <c r="C195" s="2" t="s">
        <v>27</v>
      </c>
      <c r="D195" s="2" t="s">
        <v>38</v>
      </c>
      <c r="E195" s="2" t="s">
        <v>56</v>
      </c>
      <c r="F195" s="2" t="s">
        <v>18</v>
      </c>
      <c r="G195" s="2" t="s">
        <v>19</v>
      </c>
      <c r="H195" s="2" t="n">
        <v>7.6</v>
      </c>
      <c r="I195" s="2" t="n">
        <v>9.4</v>
      </c>
      <c r="J195" s="2" t="s">
        <v>20</v>
      </c>
      <c r="K195" s="2"/>
      <c r="L195" s="3" t="n">
        <f aca="false">B195-WEEKDAY(B195,2)+1</f>
        <v>46272</v>
      </c>
      <c r="M195" s="4" t="n">
        <f aca="false">IFERROR(INDEX(02_Parâmetros!$B$14:$B$17,MATCH(C195,02_Parâmetros!$A$14:$A$17,0)),"")</f>
        <v>10</v>
      </c>
      <c r="N195" s="2" t="str">
        <f aca="false">IF(OR(H195="",M195=""),"",IF(H195&lt;=M195,"Sim","Não"))</f>
        <v>Sim</v>
      </c>
    </row>
    <row r="196" customFormat="false" ht="15" hidden="false" customHeight="false" outlineLevel="0" collapsed="false">
      <c r="A196" s="2" t="s">
        <v>233</v>
      </c>
      <c r="B196" s="3" t="n">
        <v>46274</v>
      </c>
      <c r="C196" s="2" t="s">
        <v>41</v>
      </c>
      <c r="D196" s="2" t="s">
        <v>22</v>
      </c>
      <c r="E196" s="2" t="s">
        <v>23</v>
      </c>
      <c r="F196" s="2" t="s">
        <v>32</v>
      </c>
      <c r="G196" s="2" t="s">
        <v>19</v>
      </c>
      <c r="H196" s="2" t="n">
        <v>71.3</v>
      </c>
      <c r="I196" s="2" t="n">
        <v>8.1</v>
      </c>
      <c r="J196" s="2" t="s">
        <v>20</v>
      </c>
      <c r="K196" s="2" t="n">
        <v>4</v>
      </c>
      <c r="L196" s="3" t="n">
        <f aca="false">B196-WEEKDAY(B196,2)+1</f>
        <v>46272</v>
      </c>
      <c r="M196" s="4" t="n">
        <f aca="false">IFERROR(INDEX(02_Parâmetros!$B$14:$B$17,MATCH(C196,02_Parâmetros!$A$14:$A$17,0)),"")</f>
        <v>240</v>
      </c>
      <c r="N196" s="2" t="str">
        <f aca="false">IF(OR(H196="",M196=""),"",IF(H196&lt;=M196,"Sim","Não"))</f>
        <v>Sim</v>
      </c>
    </row>
    <row r="197" customFormat="false" ht="15" hidden="false" customHeight="false" outlineLevel="0" collapsed="false">
      <c r="A197" s="2" t="s">
        <v>234</v>
      </c>
      <c r="B197" s="3" t="n">
        <v>46274</v>
      </c>
      <c r="C197" s="2" t="s">
        <v>27</v>
      </c>
      <c r="D197" s="2" t="s">
        <v>38</v>
      </c>
      <c r="E197" s="2" t="s">
        <v>56</v>
      </c>
      <c r="F197" s="2" t="s">
        <v>42</v>
      </c>
      <c r="G197" s="2" t="s">
        <v>19</v>
      </c>
      <c r="H197" s="2" t="n">
        <v>6.8</v>
      </c>
      <c r="I197" s="2" t="n">
        <v>6.2</v>
      </c>
      <c r="J197" s="2" t="s">
        <v>20</v>
      </c>
      <c r="K197" s="2"/>
      <c r="L197" s="3" t="n">
        <f aca="false">B197-WEEKDAY(B197,2)+1</f>
        <v>46272</v>
      </c>
      <c r="M197" s="4" t="n">
        <f aca="false">IFERROR(INDEX(02_Parâmetros!$B$14:$B$17,MATCH(C197,02_Parâmetros!$A$14:$A$17,0)),"")</f>
        <v>10</v>
      </c>
      <c r="N197" s="2" t="str">
        <f aca="false">IF(OR(H197="",M197=""),"",IF(H197&lt;=M197,"Sim","Não"))</f>
        <v>Sim</v>
      </c>
    </row>
    <row r="198" customFormat="false" ht="15" hidden="false" customHeight="false" outlineLevel="0" collapsed="false">
      <c r="A198" s="2" t="s">
        <v>235</v>
      </c>
      <c r="B198" s="3" t="n">
        <v>46274</v>
      </c>
      <c r="C198" s="2" t="s">
        <v>44</v>
      </c>
      <c r="D198" s="2" t="s">
        <v>16</v>
      </c>
      <c r="E198" s="2" t="s">
        <v>17</v>
      </c>
      <c r="F198" s="2" t="s">
        <v>24</v>
      </c>
      <c r="G198" s="2" t="s">
        <v>19</v>
      </c>
      <c r="H198" s="2" t="n">
        <v>1.1</v>
      </c>
      <c r="I198" s="2" t="n">
        <v>9.4</v>
      </c>
      <c r="J198" s="2" t="s">
        <v>20</v>
      </c>
      <c r="K198" s="2"/>
      <c r="L198" s="3" t="n">
        <f aca="false">B198-WEEKDAY(B198,2)+1</f>
        <v>46272</v>
      </c>
      <c r="M198" s="4" t="n">
        <f aca="false">IFERROR(INDEX(02_Parâmetros!$B$14:$B$17,MATCH(C198,02_Parâmetros!$A$14:$A$17,0)),"")</f>
        <v>2</v>
      </c>
      <c r="N198" s="2" t="str">
        <f aca="false">IF(OR(H198="",M198=""),"",IF(H198&lt;=M198,"Sim","Não"))</f>
        <v>Sim</v>
      </c>
    </row>
    <row r="199" customFormat="false" ht="15" hidden="false" customHeight="false" outlineLevel="0" collapsed="false">
      <c r="A199" s="2" t="s">
        <v>236</v>
      </c>
      <c r="B199" s="3" t="n">
        <v>46274</v>
      </c>
      <c r="C199" s="2" t="s">
        <v>41</v>
      </c>
      <c r="D199" s="2" t="s">
        <v>38</v>
      </c>
      <c r="E199" s="2" t="s">
        <v>39</v>
      </c>
      <c r="F199" s="2" t="s">
        <v>18</v>
      </c>
      <c r="G199" s="2" t="s">
        <v>19</v>
      </c>
      <c r="H199" s="2" t="n">
        <v>97.5</v>
      </c>
      <c r="I199" s="2" t="n">
        <v>8.4</v>
      </c>
      <c r="J199" s="2" t="s">
        <v>20</v>
      </c>
      <c r="K199" s="2" t="n">
        <v>5</v>
      </c>
      <c r="L199" s="3" t="n">
        <f aca="false">B199-WEEKDAY(B199,2)+1</f>
        <v>46272</v>
      </c>
      <c r="M199" s="4" t="n">
        <f aca="false">IFERROR(INDEX(02_Parâmetros!$B$14:$B$17,MATCH(C199,02_Parâmetros!$A$14:$A$17,0)),"")</f>
        <v>240</v>
      </c>
      <c r="N199" s="2" t="str">
        <f aca="false">IF(OR(H199="",M199=""),"",IF(H199&lt;=M199,"Sim","Não"))</f>
        <v>Sim</v>
      </c>
    </row>
    <row r="200" customFormat="false" ht="15" hidden="false" customHeight="false" outlineLevel="0" collapsed="false">
      <c r="A200" s="2" t="s">
        <v>237</v>
      </c>
      <c r="B200" s="3" t="n">
        <v>46274</v>
      </c>
      <c r="C200" s="2" t="s">
        <v>27</v>
      </c>
      <c r="D200" s="2" t="s">
        <v>22</v>
      </c>
      <c r="E200" s="2" t="s">
        <v>28</v>
      </c>
      <c r="F200" s="2" t="s">
        <v>70</v>
      </c>
      <c r="G200" s="2" t="s">
        <v>19</v>
      </c>
      <c r="H200" s="2" t="n">
        <v>15.5</v>
      </c>
      <c r="I200" s="2" t="n">
        <v>7.6</v>
      </c>
      <c r="J200" s="2" t="s">
        <v>20</v>
      </c>
      <c r="K200" s="2"/>
      <c r="L200" s="3" t="n">
        <f aca="false">B200-WEEKDAY(B200,2)+1</f>
        <v>46272</v>
      </c>
      <c r="M200" s="4" t="n">
        <f aca="false">IFERROR(INDEX(02_Parâmetros!$B$14:$B$17,MATCH(C200,02_Parâmetros!$A$14:$A$17,0)),"")</f>
        <v>10</v>
      </c>
      <c r="N200" s="2" t="str">
        <f aca="false">IF(OR(H200="",M200=""),"",IF(H200&lt;=M200,"Sim","Não"))</f>
        <v>Não</v>
      </c>
    </row>
    <row r="201" customFormat="false" ht="15" hidden="false" customHeight="false" outlineLevel="0" collapsed="false">
      <c r="A201" s="2" t="s">
        <v>238</v>
      </c>
      <c r="B201" s="3" t="n">
        <v>46274</v>
      </c>
      <c r="C201" s="2" t="s">
        <v>27</v>
      </c>
      <c r="D201" s="2" t="s">
        <v>16</v>
      </c>
      <c r="E201" s="2" t="s">
        <v>36</v>
      </c>
      <c r="F201" s="2" t="s">
        <v>24</v>
      </c>
      <c r="G201" s="2" t="s">
        <v>19</v>
      </c>
      <c r="H201" s="2" t="n">
        <v>3.3</v>
      </c>
      <c r="I201" s="2" t="n">
        <v>9.1</v>
      </c>
      <c r="J201" s="2" t="s">
        <v>20</v>
      </c>
      <c r="K201" s="2" t="n">
        <v>5</v>
      </c>
      <c r="L201" s="3" t="n">
        <f aca="false">B201-WEEKDAY(B201,2)+1</f>
        <v>46272</v>
      </c>
      <c r="M201" s="4" t="n">
        <f aca="false">IFERROR(INDEX(02_Parâmetros!$B$14:$B$17,MATCH(C201,02_Parâmetros!$A$14:$A$17,0)),"")</f>
        <v>10</v>
      </c>
      <c r="N201" s="2" t="str">
        <f aca="false">IF(OR(H201="",M201=""),"",IF(H201&lt;=M201,"Sim","Não"))</f>
        <v>Sim</v>
      </c>
    </row>
    <row r="202" customFormat="false" ht="15" hidden="false" customHeight="false" outlineLevel="0" collapsed="false">
      <c r="A202" s="2" t="s">
        <v>239</v>
      </c>
      <c r="B202" s="3" t="n">
        <v>46275</v>
      </c>
      <c r="C202" s="2" t="s">
        <v>27</v>
      </c>
      <c r="D202" s="2" t="s">
        <v>38</v>
      </c>
      <c r="E202" s="2" t="s">
        <v>47</v>
      </c>
      <c r="F202" s="2" t="s">
        <v>42</v>
      </c>
      <c r="G202" s="2" t="s">
        <v>19</v>
      </c>
      <c r="H202" s="2" t="n">
        <v>2.7</v>
      </c>
      <c r="I202" s="2" t="n">
        <v>9.6</v>
      </c>
      <c r="J202" s="2" t="s">
        <v>20</v>
      </c>
      <c r="K202" s="2" t="n">
        <v>5</v>
      </c>
      <c r="L202" s="3" t="n">
        <f aca="false">B202-WEEKDAY(B202,2)+1</f>
        <v>46272</v>
      </c>
      <c r="M202" s="4" t="n">
        <f aca="false">IFERROR(INDEX(02_Parâmetros!$B$14:$B$17,MATCH(C202,02_Parâmetros!$A$14:$A$17,0)),"")</f>
        <v>10</v>
      </c>
      <c r="N202" s="2" t="str">
        <f aca="false">IF(OR(H202="",M202=""),"",IF(H202&lt;=M202,"Sim","Não"))</f>
        <v>Sim</v>
      </c>
    </row>
    <row r="203" customFormat="false" ht="15" hidden="false" customHeight="false" outlineLevel="0" collapsed="false">
      <c r="A203" s="2" t="s">
        <v>240</v>
      </c>
      <c r="B203" s="3" t="n">
        <v>46275</v>
      </c>
      <c r="C203" s="2" t="s">
        <v>15</v>
      </c>
      <c r="D203" s="2" t="s">
        <v>38</v>
      </c>
      <c r="E203" s="2" t="s">
        <v>47</v>
      </c>
      <c r="F203" s="2" t="s">
        <v>34</v>
      </c>
      <c r="G203" s="2" t="s">
        <v>19</v>
      </c>
      <c r="H203" s="2" t="n">
        <v>0.3</v>
      </c>
      <c r="I203" s="2" t="n">
        <v>9.8</v>
      </c>
      <c r="J203" s="2" t="s">
        <v>20</v>
      </c>
      <c r="K203" s="2"/>
      <c r="L203" s="3" t="n">
        <f aca="false">B203-WEEKDAY(B203,2)+1</f>
        <v>46272</v>
      </c>
      <c r="M203" s="4" t="n">
        <f aca="false">IFERROR(INDEX(02_Parâmetros!$B$14:$B$17,MATCH(C203,02_Parâmetros!$A$14:$A$17,0)),"")</f>
        <v>1</v>
      </c>
      <c r="N203" s="2" t="str">
        <f aca="false">IF(OR(H203="",M203=""),"",IF(H203&lt;=M203,"Sim","Não"))</f>
        <v>Sim</v>
      </c>
    </row>
    <row r="204" customFormat="false" ht="15" hidden="false" customHeight="false" outlineLevel="0" collapsed="false">
      <c r="A204" s="2" t="s">
        <v>241</v>
      </c>
      <c r="B204" s="3" t="n">
        <v>46275</v>
      </c>
      <c r="C204" s="2" t="s">
        <v>44</v>
      </c>
      <c r="D204" s="2" t="s">
        <v>16</v>
      </c>
      <c r="E204" s="2" t="s">
        <v>36</v>
      </c>
      <c r="F204" s="2" t="s">
        <v>18</v>
      </c>
      <c r="G204" s="2" t="s">
        <v>19</v>
      </c>
      <c r="H204" s="2"/>
      <c r="I204" s="2" t="n">
        <v>14.8</v>
      </c>
      <c r="J204" s="2" t="s">
        <v>20</v>
      </c>
      <c r="K204" s="2"/>
      <c r="L204" s="3" t="n">
        <f aca="false">B204-WEEKDAY(B204,2)+1</f>
        <v>46272</v>
      </c>
      <c r="M204" s="4" t="n">
        <f aca="false">IFERROR(INDEX(02_Parâmetros!$B$14:$B$17,MATCH(C204,02_Parâmetros!$A$14:$A$17,0)),"")</f>
        <v>2</v>
      </c>
      <c r="N204" s="2" t="str">
        <f aca="false">IF(OR(H204="",M204=""),"",IF(H204&lt;=M204,"Sim","Não"))</f>
        <v/>
      </c>
    </row>
    <row r="205" customFormat="false" ht="15" hidden="false" customHeight="false" outlineLevel="0" collapsed="false">
      <c r="A205" s="2" t="s">
        <v>242</v>
      </c>
      <c r="B205" s="3" t="n">
        <v>46275</v>
      </c>
      <c r="C205" s="2" t="s">
        <v>27</v>
      </c>
      <c r="D205" s="2" t="s">
        <v>38</v>
      </c>
      <c r="E205" s="2" t="s">
        <v>47</v>
      </c>
      <c r="F205" s="2" t="s">
        <v>18</v>
      </c>
      <c r="G205" s="2" t="s">
        <v>19</v>
      </c>
      <c r="H205" s="2" t="n">
        <v>3.4</v>
      </c>
      <c r="I205" s="2" t="n">
        <v>10.1</v>
      </c>
      <c r="J205" s="2" t="s">
        <v>20</v>
      </c>
      <c r="K205" s="2" t="n">
        <v>4</v>
      </c>
      <c r="L205" s="3" t="n">
        <f aca="false">B205-WEEKDAY(B205,2)+1</f>
        <v>46272</v>
      </c>
      <c r="M205" s="4" t="n">
        <f aca="false">IFERROR(INDEX(02_Parâmetros!$B$14:$B$17,MATCH(C205,02_Parâmetros!$A$14:$A$17,0)),"")</f>
        <v>10</v>
      </c>
      <c r="N205" s="2" t="str">
        <f aca="false">IF(OR(H205="",M205=""),"",IF(H205&lt;=M205,"Sim","Não"))</f>
        <v>Sim</v>
      </c>
    </row>
    <row r="206" customFormat="false" ht="15" hidden="false" customHeight="false" outlineLevel="0" collapsed="false">
      <c r="A206" s="2" t="s">
        <v>243</v>
      </c>
      <c r="B206" s="3" t="n">
        <v>46275</v>
      </c>
      <c r="C206" s="2" t="s">
        <v>27</v>
      </c>
      <c r="D206" s="2" t="s">
        <v>16</v>
      </c>
      <c r="E206" s="2" t="s">
        <v>36</v>
      </c>
      <c r="F206" s="2" t="s">
        <v>70</v>
      </c>
      <c r="G206" s="2" t="s">
        <v>19</v>
      </c>
      <c r="H206" s="2" t="n">
        <v>3.2</v>
      </c>
      <c r="I206" s="2" t="n">
        <v>8.2</v>
      </c>
      <c r="J206" s="2" t="s">
        <v>20</v>
      </c>
      <c r="K206" s="2" t="n">
        <v>4</v>
      </c>
      <c r="L206" s="3" t="n">
        <f aca="false">B206-WEEKDAY(B206,2)+1</f>
        <v>46272</v>
      </c>
      <c r="M206" s="4" t="n">
        <f aca="false">IFERROR(INDEX(02_Parâmetros!$B$14:$B$17,MATCH(C206,02_Parâmetros!$A$14:$A$17,0)),"")</f>
        <v>10</v>
      </c>
      <c r="N206" s="2" t="str">
        <f aca="false">IF(OR(H206="",M206=""),"",IF(H206&lt;=M206,"Sim","Não"))</f>
        <v>Sim</v>
      </c>
    </row>
    <row r="207" customFormat="false" ht="15" hidden="false" customHeight="false" outlineLevel="0" collapsed="false">
      <c r="A207" s="2" t="s">
        <v>244</v>
      </c>
      <c r="B207" s="3" t="n">
        <v>46275</v>
      </c>
      <c r="C207" s="2" t="s">
        <v>27</v>
      </c>
      <c r="D207" s="2" t="s">
        <v>38</v>
      </c>
      <c r="E207" s="2" t="s">
        <v>39</v>
      </c>
      <c r="F207" s="2" t="s">
        <v>34</v>
      </c>
      <c r="G207" s="2" t="s">
        <v>19</v>
      </c>
      <c r="H207" s="2" t="n">
        <v>7.3</v>
      </c>
      <c r="I207" s="2" t="n">
        <v>4.7</v>
      </c>
      <c r="J207" s="2" t="s">
        <v>20</v>
      </c>
      <c r="K207" s="2" t="n">
        <v>5</v>
      </c>
      <c r="L207" s="3" t="n">
        <f aca="false">B207-WEEKDAY(B207,2)+1</f>
        <v>46272</v>
      </c>
      <c r="M207" s="4" t="n">
        <f aca="false">IFERROR(INDEX(02_Parâmetros!$B$14:$B$17,MATCH(C207,02_Parâmetros!$A$14:$A$17,0)),"")</f>
        <v>10</v>
      </c>
      <c r="N207" s="2" t="str">
        <f aca="false">IF(OR(H207="",M207=""),"",IF(H207&lt;=M207,"Sim","Não"))</f>
        <v>Sim</v>
      </c>
    </row>
    <row r="208" customFormat="false" ht="15" hidden="false" customHeight="false" outlineLevel="0" collapsed="false">
      <c r="A208" s="2" t="s">
        <v>245</v>
      </c>
      <c r="B208" s="3" t="n">
        <v>46275</v>
      </c>
      <c r="C208" s="2" t="s">
        <v>27</v>
      </c>
      <c r="D208" s="2" t="s">
        <v>38</v>
      </c>
      <c r="E208" s="2" t="s">
        <v>39</v>
      </c>
      <c r="F208" s="2" t="s">
        <v>34</v>
      </c>
      <c r="G208" s="2" t="s">
        <v>19</v>
      </c>
      <c r="H208" s="2" t="n">
        <v>8</v>
      </c>
      <c r="I208" s="2" t="n">
        <v>11.1</v>
      </c>
      <c r="J208" s="2" t="s">
        <v>25</v>
      </c>
      <c r="K208" s="2" t="n">
        <v>3</v>
      </c>
      <c r="L208" s="3" t="n">
        <f aca="false">B208-WEEKDAY(B208,2)+1</f>
        <v>46272</v>
      </c>
      <c r="M208" s="4" t="n">
        <f aca="false">IFERROR(INDEX(02_Parâmetros!$B$14:$B$17,MATCH(C208,02_Parâmetros!$A$14:$A$17,0)),"")</f>
        <v>10</v>
      </c>
      <c r="N208" s="2" t="str">
        <f aca="false">IF(OR(H208="",M208=""),"",IF(H208&lt;=M208,"Sim","Não"))</f>
        <v>Sim</v>
      </c>
    </row>
    <row r="209" customFormat="false" ht="15" hidden="false" customHeight="false" outlineLevel="0" collapsed="false">
      <c r="A209" s="2" t="s">
        <v>246</v>
      </c>
      <c r="B209" s="3" t="n">
        <v>46275</v>
      </c>
      <c r="C209" s="2" t="s">
        <v>27</v>
      </c>
      <c r="D209" s="2" t="s">
        <v>38</v>
      </c>
      <c r="E209" s="2" t="s">
        <v>39</v>
      </c>
      <c r="F209" s="2" t="s">
        <v>70</v>
      </c>
      <c r="G209" s="2" t="s">
        <v>19</v>
      </c>
      <c r="H209" s="2" t="n">
        <v>4.3</v>
      </c>
      <c r="I209" s="2" t="n">
        <v>8.5</v>
      </c>
      <c r="J209" s="2" t="s">
        <v>20</v>
      </c>
      <c r="K209" s="2" t="n">
        <v>5</v>
      </c>
      <c r="L209" s="3" t="n">
        <f aca="false">B209-WEEKDAY(B209,2)+1</f>
        <v>46272</v>
      </c>
      <c r="M209" s="4" t="n">
        <f aca="false">IFERROR(INDEX(02_Parâmetros!$B$14:$B$17,MATCH(C209,02_Parâmetros!$A$14:$A$17,0)),"")</f>
        <v>10</v>
      </c>
      <c r="N209" s="2" t="str">
        <f aca="false">IF(OR(H209="",M209=""),"",IF(H209&lt;=M209,"Sim","Não"))</f>
        <v>Sim</v>
      </c>
    </row>
    <row r="210" customFormat="false" ht="15" hidden="false" customHeight="false" outlineLevel="0" collapsed="false">
      <c r="A210" s="2" t="s">
        <v>247</v>
      </c>
      <c r="B210" s="3" t="n">
        <v>46275</v>
      </c>
      <c r="C210" s="2" t="s">
        <v>41</v>
      </c>
      <c r="D210" s="2" t="s">
        <v>38</v>
      </c>
      <c r="E210" s="2" t="s">
        <v>56</v>
      </c>
      <c r="F210" s="2" t="s">
        <v>18</v>
      </c>
      <c r="G210" s="2" t="s">
        <v>19</v>
      </c>
      <c r="H210" s="2" t="n">
        <v>81.3</v>
      </c>
      <c r="I210" s="2" t="n">
        <v>12.5</v>
      </c>
      <c r="J210" s="2" t="s">
        <v>25</v>
      </c>
      <c r="K210" s="2"/>
      <c r="L210" s="3" t="n">
        <f aca="false">B210-WEEKDAY(B210,2)+1</f>
        <v>46272</v>
      </c>
      <c r="M210" s="4" t="n">
        <f aca="false">IFERROR(INDEX(02_Parâmetros!$B$14:$B$17,MATCH(C210,02_Parâmetros!$A$14:$A$17,0)),"")</f>
        <v>240</v>
      </c>
      <c r="N210" s="2" t="str">
        <f aca="false">IF(OR(H210="",M210=""),"",IF(H210&lt;=M210,"Sim","Não"))</f>
        <v>Sim</v>
      </c>
    </row>
    <row r="211" customFormat="false" ht="15" hidden="false" customHeight="false" outlineLevel="0" collapsed="false">
      <c r="A211" s="2" t="s">
        <v>248</v>
      </c>
      <c r="B211" s="3" t="n">
        <v>46275</v>
      </c>
      <c r="C211" s="2" t="s">
        <v>27</v>
      </c>
      <c r="D211" s="2" t="s">
        <v>22</v>
      </c>
      <c r="E211" s="2" t="s">
        <v>23</v>
      </c>
      <c r="F211" s="2" t="s">
        <v>18</v>
      </c>
      <c r="G211" s="2" t="s">
        <v>19</v>
      </c>
      <c r="H211" s="2" t="n">
        <v>8.1</v>
      </c>
      <c r="I211" s="2" t="n">
        <v>10.9</v>
      </c>
      <c r="J211" s="2" t="s">
        <v>25</v>
      </c>
      <c r="K211" s="2" t="n">
        <v>3</v>
      </c>
      <c r="L211" s="3" t="n">
        <f aca="false">B211-WEEKDAY(B211,2)+1</f>
        <v>46272</v>
      </c>
      <c r="M211" s="4" t="n">
        <f aca="false">IFERROR(INDEX(02_Parâmetros!$B$14:$B$17,MATCH(C211,02_Parâmetros!$A$14:$A$17,0)),"")</f>
        <v>10</v>
      </c>
      <c r="N211" s="2" t="str">
        <f aca="false">IF(OR(H211="",M211=""),"",IF(H211&lt;=M211,"Sim","Não"))</f>
        <v>Sim</v>
      </c>
    </row>
    <row r="212" customFormat="false" ht="15" hidden="false" customHeight="false" outlineLevel="0" collapsed="false">
      <c r="A212" s="2" t="s">
        <v>249</v>
      </c>
      <c r="B212" s="3" t="n">
        <v>46275</v>
      </c>
      <c r="C212" s="2" t="s">
        <v>41</v>
      </c>
      <c r="D212" s="2" t="s">
        <v>16</v>
      </c>
      <c r="E212" s="2" t="s">
        <v>36</v>
      </c>
      <c r="F212" s="2" t="s">
        <v>34</v>
      </c>
      <c r="G212" s="2" t="s">
        <v>19</v>
      </c>
      <c r="H212" s="2" t="n">
        <v>141.6</v>
      </c>
      <c r="I212" s="2" t="n">
        <v>10.9</v>
      </c>
      <c r="J212" s="2" t="s">
        <v>20</v>
      </c>
      <c r="K212" s="2"/>
      <c r="L212" s="3" t="n">
        <f aca="false">B212-WEEKDAY(B212,2)+1</f>
        <v>46272</v>
      </c>
      <c r="M212" s="4" t="n">
        <f aca="false">IFERROR(INDEX(02_Parâmetros!$B$14:$B$17,MATCH(C212,02_Parâmetros!$A$14:$A$17,0)),"")</f>
        <v>240</v>
      </c>
      <c r="N212" s="2" t="str">
        <f aca="false">IF(OR(H212="",M212=""),"",IF(H212&lt;=M212,"Sim","Não"))</f>
        <v>Sim</v>
      </c>
    </row>
    <row r="213" customFormat="false" ht="15" hidden="false" customHeight="false" outlineLevel="0" collapsed="false">
      <c r="A213" s="2" t="s">
        <v>250</v>
      </c>
      <c r="B213" s="3" t="n">
        <v>46275</v>
      </c>
      <c r="C213" s="2" t="s">
        <v>15</v>
      </c>
      <c r="D213" s="2" t="s">
        <v>22</v>
      </c>
      <c r="E213" s="2" t="s">
        <v>28</v>
      </c>
      <c r="F213" s="2" t="s">
        <v>18</v>
      </c>
      <c r="G213" s="2" t="s">
        <v>19</v>
      </c>
      <c r="H213" s="2" t="n">
        <v>0.9</v>
      </c>
      <c r="I213" s="2" t="n">
        <v>15.3</v>
      </c>
      <c r="J213" s="2" t="s">
        <v>20</v>
      </c>
      <c r="K213" s="2"/>
      <c r="L213" s="3" t="n">
        <f aca="false">B213-WEEKDAY(B213,2)+1</f>
        <v>46272</v>
      </c>
      <c r="M213" s="4" t="n">
        <f aca="false">IFERROR(INDEX(02_Parâmetros!$B$14:$B$17,MATCH(C213,02_Parâmetros!$A$14:$A$17,0)),"")</f>
        <v>1</v>
      </c>
      <c r="N213" s="2" t="str">
        <f aca="false">IF(OR(H213="",M213=""),"",IF(H213&lt;=M213,"Sim","Não"))</f>
        <v>Sim</v>
      </c>
    </row>
    <row r="214" customFormat="false" ht="15" hidden="false" customHeight="false" outlineLevel="0" collapsed="false">
      <c r="A214" s="2" t="s">
        <v>251</v>
      </c>
      <c r="B214" s="3" t="n">
        <v>46275</v>
      </c>
      <c r="C214" s="2" t="s">
        <v>27</v>
      </c>
      <c r="D214" s="2" t="s">
        <v>16</v>
      </c>
      <c r="E214" s="2" t="s">
        <v>36</v>
      </c>
      <c r="F214" s="2" t="s">
        <v>18</v>
      </c>
      <c r="G214" s="2" t="s">
        <v>19</v>
      </c>
      <c r="H214" s="2" t="n">
        <v>13.8</v>
      </c>
      <c r="I214" s="2" t="n">
        <v>8.4</v>
      </c>
      <c r="J214" s="2" t="s">
        <v>20</v>
      </c>
      <c r="K214" s="2"/>
      <c r="L214" s="3" t="n">
        <f aca="false">B214-WEEKDAY(B214,2)+1</f>
        <v>46272</v>
      </c>
      <c r="M214" s="4" t="n">
        <f aca="false">IFERROR(INDEX(02_Parâmetros!$B$14:$B$17,MATCH(C214,02_Parâmetros!$A$14:$A$17,0)),"")</f>
        <v>10</v>
      </c>
      <c r="N214" s="2" t="str">
        <f aca="false">IF(OR(H214="",M214=""),"",IF(H214&lt;=M214,"Sim","Não"))</f>
        <v>Não</v>
      </c>
    </row>
    <row r="215" customFormat="false" ht="15" hidden="false" customHeight="false" outlineLevel="0" collapsed="false">
      <c r="A215" s="2" t="s">
        <v>252</v>
      </c>
      <c r="B215" s="3" t="n">
        <v>46275</v>
      </c>
      <c r="C215" s="2" t="s">
        <v>27</v>
      </c>
      <c r="D215" s="2" t="s">
        <v>22</v>
      </c>
      <c r="E215" s="2" t="s">
        <v>28</v>
      </c>
      <c r="F215" s="2" t="s">
        <v>18</v>
      </c>
      <c r="G215" s="2" t="s">
        <v>19</v>
      </c>
      <c r="H215" s="2" t="n">
        <v>4.1</v>
      </c>
      <c r="I215" s="2" t="n">
        <v>10.4</v>
      </c>
      <c r="J215" s="2" t="s">
        <v>20</v>
      </c>
      <c r="K215" s="2"/>
      <c r="L215" s="3" t="n">
        <f aca="false">B215-WEEKDAY(B215,2)+1</f>
        <v>46272</v>
      </c>
      <c r="M215" s="4" t="n">
        <f aca="false">IFERROR(INDEX(02_Parâmetros!$B$14:$B$17,MATCH(C215,02_Parâmetros!$A$14:$A$17,0)),"")</f>
        <v>10</v>
      </c>
      <c r="N215" s="2" t="str">
        <f aca="false">IF(OR(H215="",M215=""),"",IF(H215&lt;=M215,"Sim","Não"))</f>
        <v>Sim</v>
      </c>
    </row>
    <row r="216" customFormat="false" ht="15" hidden="false" customHeight="false" outlineLevel="0" collapsed="false">
      <c r="A216" s="2" t="s">
        <v>253</v>
      </c>
      <c r="B216" s="3" t="n">
        <v>46275</v>
      </c>
      <c r="C216" s="2" t="s">
        <v>15</v>
      </c>
      <c r="D216" s="2" t="s">
        <v>38</v>
      </c>
      <c r="E216" s="2" t="s">
        <v>56</v>
      </c>
      <c r="F216" s="2" t="s">
        <v>70</v>
      </c>
      <c r="G216" s="2" t="s">
        <v>19</v>
      </c>
      <c r="H216" s="2" t="n">
        <v>1</v>
      </c>
      <c r="I216" s="2" t="n">
        <v>8.8</v>
      </c>
      <c r="J216" s="2" t="s">
        <v>20</v>
      </c>
      <c r="K216" s="2" t="n">
        <v>5</v>
      </c>
      <c r="L216" s="3" t="n">
        <f aca="false">B216-WEEKDAY(B216,2)+1</f>
        <v>46272</v>
      </c>
      <c r="M216" s="4" t="n">
        <f aca="false">IFERROR(INDEX(02_Parâmetros!$B$14:$B$17,MATCH(C216,02_Parâmetros!$A$14:$A$17,0)),"")</f>
        <v>1</v>
      </c>
      <c r="N216" s="2" t="str">
        <f aca="false">IF(OR(H216="",M216=""),"",IF(H216&lt;=M216,"Sim","Não"))</f>
        <v>Sim</v>
      </c>
    </row>
    <row r="217" customFormat="false" ht="15" hidden="false" customHeight="false" outlineLevel="0" collapsed="false">
      <c r="A217" s="2" t="s">
        <v>254</v>
      </c>
      <c r="B217" s="3" t="n">
        <v>46275</v>
      </c>
      <c r="C217" s="2" t="s">
        <v>41</v>
      </c>
      <c r="D217" s="2" t="s">
        <v>16</v>
      </c>
      <c r="E217" s="2" t="s">
        <v>17</v>
      </c>
      <c r="F217" s="2" t="s">
        <v>24</v>
      </c>
      <c r="G217" s="2" t="s">
        <v>19</v>
      </c>
      <c r="H217" s="2"/>
      <c r="I217" s="2" t="n">
        <v>9.7</v>
      </c>
      <c r="J217" s="2" t="s">
        <v>20</v>
      </c>
      <c r="K217" s="2" t="n">
        <v>5</v>
      </c>
      <c r="L217" s="3" t="n">
        <f aca="false">B217-WEEKDAY(B217,2)+1</f>
        <v>46272</v>
      </c>
      <c r="M217" s="4" t="n">
        <f aca="false">IFERROR(INDEX(02_Parâmetros!$B$14:$B$17,MATCH(C217,02_Parâmetros!$A$14:$A$17,0)),"")</f>
        <v>240</v>
      </c>
      <c r="N217" s="2" t="str">
        <f aca="false">IF(OR(H217="",M217=""),"",IF(H217&lt;=M217,"Sim","Não"))</f>
        <v/>
      </c>
    </row>
    <row r="218" customFormat="false" ht="15" hidden="false" customHeight="false" outlineLevel="0" collapsed="false">
      <c r="A218" s="2" t="s">
        <v>255</v>
      </c>
      <c r="B218" s="3" t="n">
        <v>46275</v>
      </c>
      <c r="C218" s="2" t="s">
        <v>15</v>
      </c>
      <c r="D218" s="2" t="s">
        <v>16</v>
      </c>
      <c r="E218" s="2" t="s">
        <v>17</v>
      </c>
      <c r="F218" s="2" t="s">
        <v>34</v>
      </c>
      <c r="G218" s="2" t="s">
        <v>19</v>
      </c>
      <c r="H218" s="2" t="n">
        <v>0.6</v>
      </c>
      <c r="I218" s="2" t="n">
        <v>8.5</v>
      </c>
      <c r="J218" s="2" t="s">
        <v>20</v>
      </c>
      <c r="K218" s="2" t="n">
        <v>5</v>
      </c>
      <c r="L218" s="3" t="n">
        <f aca="false">B218-WEEKDAY(B218,2)+1</f>
        <v>46272</v>
      </c>
      <c r="M218" s="4" t="n">
        <f aca="false">IFERROR(INDEX(02_Parâmetros!$B$14:$B$17,MATCH(C218,02_Parâmetros!$A$14:$A$17,0)),"")</f>
        <v>1</v>
      </c>
      <c r="N218" s="2" t="str">
        <f aca="false">IF(OR(H218="",M218=""),"",IF(H218&lt;=M218,"Sim","Não"))</f>
        <v>Sim</v>
      </c>
    </row>
    <row r="219" customFormat="false" ht="15" hidden="false" customHeight="false" outlineLevel="0" collapsed="false">
      <c r="A219" s="2" t="s">
        <v>256</v>
      </c>
      <c r="B219" s="3" t="n">
        <v>46275</v>
      </c>
      <c r="C219" s="2" t="s">
        <v>44</v>
      </c>
      <c r="D219" s="2" t="s">
        <v>16</v>
      </c>
      <c r="E219" s="2" t="s">
        <v>17</v>
      </c>
      <c r="F219" s="2" t="s">
        <v>32</v>
      </c>
      <c r="G219" s="2" t="s">
        <v>19</v>
      </c>
      <c r="H219" s="2" t="n">
        <v>1.5</v>
      </c>
      <c r="I219" s="2" t="n">
        <v>5.2</v>
      </c>
      <c r="J219" s="2" t="s">
        <v>20</v>
      </c>
      <c r="K219" s="2" t="n">
        <v>5</v>
      </c>
      <c r="L219" s="3" t="n">
        <f aca="false">B219-WEEKDAY(B219,2)+1</f>
        <v>46272</v>
      </c>
      <c r="M219" s="4" t="n">
        <f aca="false">IFERROR(INDEX(02_Parâmetros!$B$14:$B$17,MATCH(C219,02_Parâmetros!$A$14:$A$17,0)),"")</f>
        <v>2</v>
      </c>
      <c r="N219" s="2" t="str">
        <f aca="false">IF(OR(H219="",M219=""),"",IF(H219&lt;=M219,"Sim","Não"))</f>
        <v>Sim</v>
      </c>
    </row>
    <row r="220" customFormat="false" ht="15" hidden="false" customHeight="false" outlineLevel="0" collapsed="false">
      <c r="A220" s="2" t="s">
        <v>257</v>
      </c>
      <c r="B220" s="3" t="n">
        <v>46275</v>
      </c>
      <c r="C220" s="2" t="s">
        <v>27</v>
      </c>
      <c r="D220" s="2" t="s">
        <v>22</v>
      </c>
      <c r="E220" s="2" t="s">
        <v>23</v>
      </c>
      <c r="F220" s="2" t="s">
        <v>18</v>
      </c>
      <c r="G220" s="2" t="s">
        <v>19</v>
      </c>
      <c r="H220" s="2" t="n">
        <v>6.4</v>
      </c>
      <c r="I220" s="2" t="n">
        <v>12.2</v>
      </c>
      <c r="J220" s="2" t="s">
        <v>25</v>
      </c>
      <c r="K220" s="2"/>
      <c r="L220" s="3" t="n">
        <f aca="false">B220-WEEKDAY(B220,2)+1</f>
        <v>46272</v>
      </c>
      <c r="M220" s="4" t="n">
        <f aca="false">IFERROR(INDEX(02_Parâmetros!$B$14:$B$17,MATCH(C220,02_Parâmetros!$A$14:$A$17,0)),"")</f>
        <v>10</v>
      </c>
      <c r="N220" s="2" t="str">
        <f aca="false">IF(OR(H220="",M220=""),"",IF(H220&lt;=M220,"Sim","Não"))</f>
        <v>Sim</v>
      </c>
    </row>
    <row r="221" customFormat="false" ht="15" hidden="false" customHeight="false" outlineLevel="0" collapsed="false">
      <c r="A221" s="2" t="s">
        <v>258</v>
      </c>
      <c r="B221" s="3" t="n">
        <v>46275</v>
      </c>
      <c r="C221" s="2" t="s">
        <v>27</v>
      </c>
      <c r="D221" s="2" t="s">
        <v>38</v>
      </c>
      <c r="E221" s="2" t="s">
        <v>39</v>
      </c>
      <c r="F221" s="2" t="s">
        <v>42</v>
      </c>
      <c r="G221" s="2" t="s">
        <v>19</v>
      </c>
      <c r="H221" s="2" t="n">
        <v>9.1</v>
      </c>
      <c r="I221" s="2" t="n">
        <v>8</v>
      </c>
      <c r="J221" s="2" t="s">
        <v>20</v>
      </c>
      <c r="K221" s="2"/>
      <c r="L221" s="3" t="n">
        <f aca="false">B221-WEEKDAY(B221,2)+1</f>
        <v>46272</v>
      </c>
      <c r="M221" s="4" t="n">
        <f aca="false">IFERROR(INDEX(02_Parâmetros!$B$14:$B$17,MATCH(C221,02_Parâmetros!$A$14:$A$17,0)),"")</f>
        <v>10</v>
      </c>
      <c r="N221" s="2" t="str">
        <f aca="false">IF(OR(H221="",M221=""),"",IF(H221&lt;=M221,"Sim","Não"))</f>
        <v>Sim</v>
      </c>
    </row>
    <row r="222" customFormat="false" ht="15" hidden="false" customHeight="false" outlineLevel="0" collapsed="false">
      <c r="A222" s="2" t="s">
        <v>259</v>
      </c>
      <c r="B222" s="3" t="n">
        <v>46275</v>
      </c>
      <c r="C222" s="2" t="s">
        <v>41</v>
      </c>
      <c r="D222" s="2" t="s">
        <v>16</v>
      </c>
      <c r="E222" s="2" t="s">
        <v>31</v>
      </c>
      <c r="F222" s="2" t="s">
        <v>34</v>
      </c>
      <c r="G222" s="2" t="s">
        <v>19</v>
      </c>
      <c r="H222" s="2" t="n">
        <v>91.2</v>
      </c>
      <c r="I222" s="2" t="n">
        <v>9.4</v>
      </c>
      <c r="J222" s="2" t="s">
        <v>20</v>
      </c>
      <c r="K222" s="2"/>
      <c r="L222" s="3" t="n">
        <f aca="false">B222-WEEKDAY(B222,2)+1</f>
        <v>46272</v>
      </c>
      <c r="M222" s="4" t="n">
        <f aca="false">IFERROR(INDEX(02_Parâmetros!$B$14:$B$17,MATCH(C222,02_Parâmetros!$A$14:$A$17,0)),"")</f>
        <v>240</v>
      </c>
      <c r="N222" s="2" t="str">
        <f aca="false">IF(OR(H222="",M222=""),"",IF(H222&lt;=M222,"Sim","Não"))</f>
        <v>Sim</v>
      </c>
    </row>
    <row r="223" customFormat="false" ht="15" hidden="false" customHeight="false" outlineLevel="0" collapsed="false">
      <c r="A223" s="2" t="s">
        <v>260</v>
      </c>
      <c r="B223" s="3" t="n">
        <v>46275</v>
      </c>
      <c r="C223" s="2" t="s">
        <v>27</v>
      </c>
      <c r="D223" s="2" t="s">
        <v>38</v>
      </c>
      <c r="E223" s="2" t="s">
        <v>56</v>
      </c>
      <c r="F223" s="2" t="s">
        <v>24</v>
      </c>
      <c r="G223" s="2" t="s">
        <v>19</v>
      </c>
      <c r="H223" s="2" t="n">
        <v>2.6</v>
      </c>
      <c r="I223" s="2" t="n">
        <v>10.7</v>
      </c>
      <c r="J223" s="2" t="s">
        <v>20</v>
      </c>
      <c r="K223" s="2"/>
      <c r="L223" s="3" t="n">
        <f aca="false">B223-WEEKDAY(B223,2)+1</f>
        <v>46272</v>
      </c>
      <c r="M223" s="4" t="n">
        <f aca="false">IFERROR(INDEX(02_Parâmetros!$B$14:$B$17,MATCH(C223,02_Parâmetros!$A$14:$A$17,0)),"")</f>
        <v>10</v>
      </c>
      <c r="N223" s="2" t="str">
        <f aca="false">IF(OR(H223="",M223=""),"",IF(H223&lt;=M223,"Sim","Não"))</f>
        <v>Sim</v>
      </c>
    </row>
    <row r="224" customFormat="false" ht="15" hidden="false" customHeight="false" outlineLevel="0" collapsed="false">
      <c r="A224" s="2" t="s">
        <v>261</v>
      </c>
      <c r="B224" s="3" t="n">
        <v>46275</v>
      </c>
      <c r="C224" s="2" t="s">
        <v>27</v>
      </c>
      <c r="D224" s="2" t="s">
        <v>22</v>
      </c>
      <c r="E224" s="2" t="s">
        <v>23</v>
      </c>
      <c r="F224" s="2" t="s">
        <v>18</v>
      </c>
      <c r="G224" s="2" t="s">
        <v>19</v>
      </c>
      <c r="H224" s="2" t="n">
        <v>9</v>
      </c>
      <c r="I224" s="2" t="n">
        <v>9.2</v>
      </c>
      <c r="J224" s="2" t="s">
        <v>20</v>
      </c>
      <c r="K224" s="2" t="n">
        <v>5</v>
      </c>
      <c r="L224" s="3" t="n">
        <f aca="false">B224-WEEKDAY(B224,2)+1</f>
        <v>46272</v>
      </c>
      <c r="M224" s="4" t="n">
        <f aca="false">IFERROR(INDEX(02_Parâmetros!$B$14:$B$17,MATCH(C224,02_Parâmetros!$A$14:$A$17,0)),"")</f>
        <v>10</v>
      </c>
      <c r="N224" s="2" t="str">
        <f aca="false">IF(OR(H224="",M224=""),"",IF(H224&lt;=M224,"Sim","Não"))</f>
        <v>Sim</v>
      </c>
    </row>
    <row r="225" customFormat="false" ht="15" hidden="false" customHeight="false" outlineLevel="0" collapsed="false">
      <c r="A225" s="2" t="s">
        <v>262</v>
      </c>
      <c r="B225" s="3" t="n">
        <v>46276</v>
      </c>
      <c r="C225" s="2" t="s">
        <v>27</v>
      </c>
      <c r="D225" s="2" t="s">
        <v>38</v>
      </c>
      <c r="E225" s="2" t="s">
        <v>39</v>
      </c>
      <c r="F225" s="2" t="s">
        <v>32</v>
      </c>
      <c r="G225" s="2" t="s">
        <v>19</v>
      </c>
      <c r="H225" s="2" t="n">
        <v>5.4</v>
      </c>
      <c r="I225" s="2" t="n">
        <v>9.1</v>
      </c>
      <c r="J225" s="2" t="s">
        <v>20</v>
      </c>
      <c r="K225" s="2" t="n">
        <v>4</v>
      </c>
      <c r="L225" s="3" t="n">
        <f aca="false">B225-WEEKDAY(B225,2)+1</f>
        <v>46272</v>
      </c>
      <c r="M225" s="4" t="n">
        <f aca="false">IFERROR(INDEX(02_Parâmetros!$B$14:$B$17,MATCH(C225,02_Parâmetros!$A$14:$A$17,0)),"")</f>
        <v>10</v>
      </c>
      <c r="N225" s="2" t="str">
        <f aca="false">IF(OR(H225="",M225=""),"",IF(H225&lt;=M225,"Sim","Não"))</f>
        <v>Sim</v>
      </c>
    </row>
    <row r="226" customFormat="false" ht="15" hidden="false" customHeight="false" outlineLevel="0" collapsed="false">
      <c r="A226" s="2" t="s">
        <v>263</v>
      </c>
      <c r="B226" s="3" t="n">
        <v>46276</v>
      </c>
      <c r="C226" s="2" t="s">
        <v>15</v>
      </c>
      <c r="D226" s="2" t="s">
        <v>16</v>
      </c>
      <c r="E226" s="2" t="s">
        <v>17</v>
      </c>
      <c r="F226" s="2" t="s">
        <v>18</v>
      </c>
      <c r="G226" s="2" t="s">
        <v>19</v>
      </c>
      <c r="H226" s="2" t="n">
        <v>0.7</v>
      </c>
      <c r="I226" s="2" t="n">
        <v>11.1</v>
      </c>
      <c r="J226" s="2" t="s">
        <v>20</v>
      </c>
      <c r="K226" s="2"/>
      <c r="L226" s="3" t="n">
        <f aca="false">B226-WEEKDAY(B226,2)+1</f>
        <v>46272</v>
      </c>
      <c r="M226" s="4" t="n">
        <f aca="false">IFERROR(INDEX(02_Parâmetros!$B$14:$B$17,MATCH(C226,02_Parâmetros!$A$14:$A$17,0)),"")</f>
        <v>1</v>
      </c>
      <c r="N226" s="2" t="str">
        <f aca="false">IF(OR(H226="",M226=""),"",IF(H226&lt;=M226,"Sim","Não"))</f>
        <v>Sim</v>
      </c>
    </row>
    <row r="227" customFormat="false" ht="15" hidden="false" customHeight="false" outlineLevel="0" collapsed="false">
      <c r="A227" s="2" t="s">
        <v>264</v>
      </c>
      <c r="B227" s="3" t="n">
        <v>46276</v>
      </c>
      <c r="C227" s="2" t="s">
        <v>27</v>
      </c>
      <c r="D227" s="2" t="s">
        <v>22</v>
      </c>
      <c r="E227" s="2" t="s">
        <v>23</v>
      </c>
      <c r="F227" s="2" t="s">
        <v>18</v>
      </c>
      <c r="G227" s="2" t="s">
        <v>19</v>
      </c>
      <c r="H227" s="2" t="n">
        <v>5.2</v>
      </c>
      <c r="I227" s="2" t="n">
        <v>9.4</v>
      </c>
      <c r="J227" s="2" t="s">
        <v>25</v>
      </c>
      <c r="K227" s="2"/>
      <c r="L227" s="3" t="n">
        <f aca="false">B227-WEEKDAY(B227,2)+1</f>
        <v>46272</v>
      </c>
      <c r="M227" s="4" t="n">
        <f aca="false">IFERROR(INDEX(02_Parâmetros!$B$14:$B$17,MATCH(C227,02_Parâmetros!$A$14:$A$17,0)),"")</f>
        <v>10</v>
      </c>
      <c r="N227" s="2" t="str">
        <f aca="false">IF(OR(H227="",M227=""),"",IF(H227&lt;=M227,"Sim","Não"))</f>
        <v>Sim</v>
      </c>
    </row>
    <row r="228" customFormat="false" ht="15" hidden="false" customHeight="false" outlineLevel="0" collapsed="false">
      <c r="A228" s="2" t="s">
        <v>265</v>
      </c>
      <c r="B228" s="3" t="n">
        <v>46276</v>
      </c>
      <c r="C228" s="2" t="s">
        <v>27</v>
      </c>
      <c r="D228" s="2" t="s">
        <v>22</v>
      </c>
      <c r="E228" s="2" t="s">
        <v>23</v>
      </c>
      <c r="F228" s="2" t="s">
        <v>24</v>
      </c>
      <c r="G228" s="2" t="s">
        <v>19</v>
      </c>
      <c r="H228" s="2" t="n">
        <v>22.4</v>
      </c>
      <c r="I228" s="2" t="n">
        <v>6.6</v>
      </c>
      <c r="J228" s="2" t="s">
        <v>20</v>
      </c>
      <c r="K228" s="2"/>
      <c r="L228" s="3" t="n">
        <f aca="false">B228-WEEKDAY(B228,2)+1</f>
        <v>46272</v>
      </c>
      <c r="M228" s="4" t="n">
        <f aca="false">IFERROR(INDEX(02_Parâmetros!$B$14:$B$17,MATCH(C228,02_Parâmetros!$A$14:$A$17,0)),"")</f>
        <v>10</v>
      </c>
      <c r="N228" s="2" t="str">
        <f aca="false">IF(OR(H228="",M228=""),"",IF(H228&lt;=M228,"Sim","Não"))</f>
        <v>Não</v>
      </c>
    </row>
    <row r="229" customFormat="false" ht="15" hidden="false" customHeight="false" outlineLevel="0" collapsed="false">
      <c r="A229" s="2" t="s">
        <v>266</v>
      </c>
      <c r="B229" s="3" t="n">
        <v>46276</v>
      </c>
      <c r="C229" s="2" t="s">
        <v>27</v>
      </c>
      <c r="D229" s="2" t="s">
        <v>22</v>
      </c>
      <c r="E229" s="2" t="s">
        <v>28</v>
      </c>
      <c r="F229" s="2" t="s">
        <v>24</v>
      </c>
      <c r="G229" s="2" t="s">
        <v>19</v>
      </c>
      <c r="H229" s="2" t="n">
        <v>9.7</v>
      </c>
      <c r="I229" s="2" t="n">
        <v>10.6</v>
      </c>
      <c r="J229" s="2" t="s">
        <v>20</v>
      </c>
      <c r="K229" s="2"/>
      <c r="L229" s="3" t="n">
        <f aca="false">B229-WEEKDAY(B229,2)+1</f>
        <v>46272</v>
      </c>
      <c r="M229" s="4" t="n">
        <f aca="false">IFERROR(INDEX(02_Parâmetros!$B$14:$B$17,MATCH(C229,02_Parâmetros!$A$14:$A$17,0)),"")</f>
        <v>10</v>
      </c>
      <c r="N229" s="2" t="str">
        <f aca="false">IF(OR(H229="",M229=""),"",IF(H229&lt;=M229,"Sim","Não"))</f>
        <v>Sim</v>
      </c>
    </row>
    <row r="230" customFormat="false" ht="15" hidden="false" customHeight="false" outlineLevel="0" collapsed="false">
      <c r="A230" s="2" t="s">
        <v>267</v>
      </c>
      <c r="B230" s="3" t="n">
        <v>46276</v>
      </c>
      <c r="C230" s="2" t="s">
        <v>41</v>
      </c>
      <c r="D230" s="2" t="s">
        <v>22</v>
      </c>
      <c r="E230" s="2" t="s">
        <v>28</v>
      </c>
      <c r="F230" s="2" t="s">
        <v>18</v>
      </c>
      <c r="G230" s="2" t="s">
        <v>19</v>
      </c>
      <c r="H230" s="2" t="n">
        <v>228.5</v>
      </c>
      <c r="I230" s="2" t="n">
        <v>15.2</v>
      </c>
      <c r="J230" s="2" t="s">
        <v>25</v>
      </c>
      <c r="K230" s="2"/>
      <c r="L230" s="3" t="n">
        <f aca="false">B230-WEEKDAY(B230,2)+1</f>
        <v>46272</v>
      </c>
      <c r="M230" s="4" t="n">
        <f aca="false">IFERROR(INDEX(02_Parâmetros!$B$14:$B$17,MATCH(C230,02_Parâmetros!$A$14:$A$17,0)),"")</f>
        <v>240</v>
      </c>
      <c r="N230" s="2" t="str">
        <f aca="false">IF(OR(H230="",M230=""),"",IF(H230&lt;=M230,"Sim","Não"))</f>
        <v>Sim</v>
      </c>
    </row>
    <row r="231" customFormat="false" ht="15" hidden="false" customHeight="false" outlineLevel="0" collapsed="false">
      <c r="A231" s="2" t="s">
        <v>268</v>
      </c>
      <c r="B231" s="3" t="n">
        <v>46276</v>
      </c>
      <c r="C231" s="2" t="s">
        <v>41</v>
      </c>
      <c r="D231" s="2" t="s">
        <v>16</v>
      </c>
      <c r="E231" s="2" t="s">
        <v>31</v>
      </c>
      <c r="F231" s="2" t="s">
        <v>32</v>
      </c>
      <c r="G231" s="2" t="s">
        <v>19</v>
      </c>
      <c r="H231" s="2" t="n">
        <v>82.1</v>
      </c>
      <c r="I231" s="2" t="n">
        <v>5.8</v>
      </c>
      <c r="J231" s="2" t="s">
        <v>20</v>
      </c>
      <c r="K231" s="2"/>
      <c r="L231" s="3" t="n">
        <f aca="false">B231-WEEKDAY(B231,2)+1</f>
        <v>46272</v>
      </c>
      <c r="M231" s="4" t="n">
        <f aca="false">IFERROR(INDEX(02_Parâmetros!$B$14:$B$17,MATCH(C231,02_Parâmetros!$A$14:$A$17,0)),"")</f>
        <v>240</v>
      </c>
      <c r="N231" s="2" t="str">
        <f aca="false">IF(OR(H231="",M231=""),"",IF(H231&lt;=M231,"Sim","Não"))</f>
        <v>Sim</v>
      </c>
    </row>
    <row r="232" customFormat="false" ht="15" hidden="false" customHeight="false" outlineLevel="0" collapsed="false">
      <c r="A232" s="2" t="s">
        <v>269</v>
      </c>
      <c r="B232" s="3" t="n">
        <v>46276</v>
      </c>
      <c r="C232" s="2" t="s">
        <v>41</v>
      </c>
      <c r="D232" s="2" t="s">
        <v>16</v>
      </c>
      <c r="E232" s="2" t="s">
        <v>17</v>
      </c>
      <c r="F232" s="2" t="s">
        <v>34</v>
      </c>
      <c r="G232" s="2" t="s">
        <v>19</v>
      </c>
      <c r="H232" s="2" t="n">
        <v>276.4</v>
      </c>
      <c r="I232" s="2" t="n">
        <v>7.2</v>
      </c>
      <c r="J232" s="2" t="s">
        <v>20</v>
      </c>
      <c r="K232" s="2" t="n">
        <v>4</v>
      </c>
      <c r="L232" s="3" t="n">
        <f aca="false">B232-WEEKDAY(B232,2)+1</f>
        <v>46272</v>
      </c>
      <c r="M232" s="4" t="n">
        <f aca="false">IFERROR(INDEX(02_Parâmetros!$B$14:$B$17,MATCH(C232,02_Parâmetros!$A$14:$A$17,0)),"")</f>
        <v>240</v>
      </c>
      <c r="N232" s="2" t="str">
        <f aca="false">IF(OR(H232="",M232=""),"",IF(H232&lt;=M232,"Sim","Não"))</f>
        <v>Não</v>
      </c>
    </row>
    <row r="233" customFormat="false" ht="15" hidden="false" customHeight="false" outlineLevel="0" collapsed="false">
      <c r="A233" s="2" t="s">
        <v>270</v>
      </c>
      <c r="B233" s="3" t="n">
        <v>46276</v>
      </c>
      <c r="C233" s="2" t="s">
        <v>15</v>
      </c>
      <c r="D233" s="2" t="s">
        <v>16</v>
      </c>
      <c r="E233" s="2" t="s">
        <v>36</v>
      </c>
      <c r="F233" s="2" t="s">
        <v>34</v>
      </c>
      <c r="G233" s="2" t="s">
        <v>19</v>
      </c>
      <c r="H233" s="2" t="n">
        <v>0.8</v>
      </c>
      <c r="I233" s="2" t="n">
        <v>11.5</v>
      </c>
      <c r="J233" s="2" t="s">
        <v>20</v>
      </c>
      <c r="K233" s="2"/>
      <c r="L233" s="3" t="n">
        <f aca="false">B233-WEEKDAY(B233,2)+1</f>
        <v>46272</v>
      </c>
      <c r="M233" s="4" t="n">
        <f aca="false">IFERROR(INDEX(02_Parâmetros!$B$14:$B$17,MATCH(C233,02_Parâmetros!$A$14:$A$17,0)),"")</f>
        <v>1</v>
      </c>
      <c r="N233" s="2" t="str">
        <f aca="false">IF(OR(H233="",M233=""),"",IF(H233&lt;=M233,"Sim","Não"))</f>
        <v>Sim</v>
      </c>
    </row>
    <row r="234" customFormat="false" ht="15" hidden="false" customHeight="false" outlineLevel="0" collapsed="false">
      <c r="A234" s="2" t="s">
        <v>271</v>
      </c>
      <c r="B234" s="3" t="n">
        <v>46276</v>
      </c>
      <c r="C234" s="2" t="s">
        <v>27</v>
      </c>
      <c r="D234" s="2" t="s">
        <v>22</v>
      </c>
      <c r="E234" s="2" t="s">
        <v>23</v>
      </c>
      <c r="F234" s="2" t="s">
        <v>42</v>
      </c>
      <c r="G234" s="2" t="s">
        <v>19</v>
      </c>
      <c r="H234" s="2" t="n">
        <v>27.4</v>
      </c>
      <c r="I234" s="2" t="n">
        <v>10.3</v>
      </c>
      <c r="J234" s="2" t="s">
        <v>20</v>
      </c>
      <c r="K234" s="2"/>
      <c r="L234" s="3" t="n">
        <f aca="false">B234-WEEKDAY(B234,2)+1</f>
        <v>46272</v>
      </c>
      <c r="M234" s="4" t="n">
        <f aca="false">IFERROR(INDEX(02_Parâmetros!$B$14:$B$17,MATCH(C234,02_Parâmetros!$A$14:$A$17,0)),"")</f>
        <v>10</v>
      </c>
      <c r="N234" s="2" t="str">
        <f aca="false">IF(OR(H234="",M234=""),"",IF(H234&lt;=M234,"Sim","Não"))</f>
        <v>Não</v>
      </c>
    </row>
    <row r="235" customFormat="false" ht="15" hidden="false" customHeight="false" outlineLevel="0" collapsed="false">
      <c r="A235" s="2" t="s">
        <v>272</v>
      </c>
      <c r="B235" s="3" t="n">
        <v>46276</v>
      </c>
      <c r="C235" s="2" t="s">
        <v>41</v>
      </c>
      <c r="D235" s="2" t="s">
        <v>22</v>
      </c>
      <c r="E235" s="2" t="s">
        <v>23</v>
      </c>
      <c r="F235" s="2" t="s">
        <v>32</v>
      </c>
      <c r="G235" s="2" t="s">
        <v>19</v>
      </c>
      <c r="H235" s="2" t="n">
        <v>151.2</v>
      </c>
      <c r="I235" s="2" t="n">
        <v>10.4</v>
      </c>
      <c r="J235" s="2" t="s">
        <v>20</v>
      </c>
      <c r="K235" s="2" t="n">
        <v>5</v>
      </c>
      <c r="L235" s="3" t="n">
        <f aca="false">B235-WEEKDAY(B235,2)+1</f>
        <v>46272</v>
      </c>
      <c r="M235" s="4" t="n">
        <f aca="false">IFERROR(INDEX(02_Parâmetros!$B$14:$B$17,MATCH(C235,02_Parâmetros!$A$14:$A$17,0)),"")</f>
        <v>240</v>
      </c>
      <c r="N235" s="2" t="str">
        <f aca="false">IF(OR(H235="",M235=""),"",IF(H235&lt;=M235,"Sim","Não"))</f>
        <v>Sim</v>
      </c>
    </row>
    <row r="236" customFormat="false" ht="15" hidden="false" customHeight="false" outlineLevel="0" collapsed="false">
      <c r="A236" s="2" t="s">
        <v>273</v>
      </c>
      <c r="B236" s="3" t="n">
        <v>46276</v>
      </c>
      <c r="C236" s="2" t="s">
        <v>15</v>
      </c>
      <c r="D236" s="2" t="s">
        <v>16</v>
      </c>
      <c r="E236" s="2" t="s">
        <v>31</v>
      </c>
      <c r="F236" s="2" t="s">
        <v>70</v>
      </c>
      <c r="G236" s="2" t="s">
        <v>19</v>
      </c>
      <c r="H236" s="2" t="n">
        <v>0.5</v>
      </c>
      <c r="I236" s="2" t="n">
        <v>9.2</v>
      </c>
      <c r="J236" s="2" t="s">
        <v>20</v>
      </c>
      <c r="K236" s="2"/>
      <c r="L236" s="3" t="n">
        <f aca="false">B236-WEEKDAY(B236,2)+1</f>
        <v>46272</v>
      </c>
      <c r="M236" s="4" t="n">
        <f aca="false">IFERROR(INDEX(02_Parâmetros!$B$14:$B$17,MATCH(C236,02_Parâmetros!$A$14:$A$17,0)),"")</f>
        <v>1</v>
      </c>
      <c r="N236" s="2" t="str">
        <f aca="false">IF(OR(H236="",M236=""),"",IF(H236&lt;=M236,"Sim","Não"))</f>
        <v>Sim</v>
      </c>
    </row>
    <row r="237" customFormat="false" ht="15" hidden="false" customHeight="false" outlineLevel="0" collapsed="false">
      <c r="A237" s="2" t="s">
        <v>274</v>
      </c>
      <c r="B237" s="3" t="n">
        <v>46276</v>
      </c>
      <c r="C237" s="2" t="s">
        <v>27</v>
      </c>
      <c r="D237" s="2" t="s">
        <v>22</v>
      </c>
      <c r="E237" s="2" t="s">
        <v>23</v>
      </c>
      <c r="F237" s="2" t="s">
        <v>34</v>
      </c>
      <c r="G237" s="2" t="s">
        <v>19</v>
      </c>
      <c r="H237" s="2" t="n">
        <v>3.2</v>
      </c>
      <c r="I237" s="2" t="n">
        <v>8.1</v>
      </c>
      <c r="J237" s="2" t="s">
        <v>20</v>
      </c>
      <c r="K237" s="2"/>
      <c r="L237" s="3" t="n">
        <f aca="false">B237-WEEKDAY(B237,2)+1</f>
        <v>46272</v>
      </c>
      <c r="M237" s="4" t="n">
        <f aca="false">IFERROR(INDEX(02_Parâmetros!$B$14:$B$17,MATCH(C237,02_Parâmetros!$A$14:$A$17,0)),"")</f>
        <v>10</v>
      </c>
      <c r="N237" s="2" t="str">
        <f aca="false">IF(OR(H237="",M237=""),"",IF(H237&lt;=M237,"Sim","Não"))</f>
        <v>Sim</v>
      </c>
    </row>
    <row r="238" customFormat="false" ht="15" hidden="false" customHeight="false" outlineLevel="0" collapsed="false">
      <c r="A238" s="2" t="s">
        <v>275</v>
      </c>
      <c r="B238" s="3" t="n">
        <v>46276</v>
      </c>
      <c r="C238" s="2" t="s">
        <v>41</v>
      </c>
      <c r="D238" s="2" t="s">
        <v>38</v>
      </c>
      <c r="E238" s="2" t="s">
        <v>47</v>
      </c>
      <c r="F238" s="2" t="s">
        <v>24</v>
      </c>
      <c r="G238" s="2" t="s">
        <v>19</v>
      </c>
      <c r="H238" s="2" t="n">
        <v>103.7</v>
      </c>
      <c r="I238" s="2" t="n">
        <v>12.8</v>
      </c>
      <c r="J238" s="2" t="s">
        <v>20</v>
      </c>
      <c r="K238" s="2"/>
      <c r="L238" s="3" t="n">
        <f aca="false">B238-WEEKDAY(B238,2)+1</f>
        <v>46272</v>
      </c>
      <c r="M238" s="4" t="n">
        <f aca="false">IFERROR(INDEX(02_Parâmetros!$B$14:$B$17,MATCH(C238,02_Parâmetros!$A$14:$A$17,0)),"")</f>
        <v>240</v>
      </c>
      <c r="N238" s="2" t="str">
        <f aca="false">IF(OR(H238="",M238=""),"",IF(H238&lt;=M238,"Sim","Não"))</f>
        <v>Sim</v>
      </c>
    </row>
    <row r="239" customFormat="false" ht="15" hidden="false" customHeight="false" outlineLevel="0" collapsed="false">
      <c r="A239" s="2" t="s">
        <v>276</v>
      </c>
      <c r="B239" s="3" t="n">
        <v>46276</v>
      </c>
      <c r="C239" s="2" t="s">
        <v>27</v>
      </c>
      <c r="D239" s="2" t="s">
        <v>22</v>
      </c>
      <c r="E239" s="2" t="s">
        <v>28</v>
      </c>
      <c r="F239" s="2" t="s">
        <v>42</v>
      </c>
      <c r="G239" s="2" t="s">
        <v>19</v>
      </c>
      <c r="H239" s="2" t="n">
        <v>8.7</v>
      </c>
      <c r="I239" s="2" t="n">
        <v>8</v>
      </c>
      <c r="J239" s="2" t="s">
        <v>20</v>
      </c>
      <c r="K239" s="2" t="n">
        <v>4</v>
      </c>
      <c r="L239" s="3" t="n">
        <f aca="false">B239-WEEKDAY(B239,2)+1</f>
        <v>46272</v>
      </c>
      <c r="M239" s="4" t="n">
        <f aca="false">IFERROR(INDEX(02_Parâmetros!$B$14:$B$17,MATCH(C239,02_Parâmetros!$A$14:$A$17,0)),"")</f>
        <v>10</v>
      </c>
      <c r="N239" s="2" t="str">
        <f aca="false">IF(OR(H239="",M239=""),"",IF(H239&lt;=M239,"Sim","Não"))</f>
        <v>Sim</v>
      </c>
    </row>
    <row r="240" customFormat="false" ht="15" hidden="false" customHeight="false" outlineLevel="0" collapsed="false">
      <c r="A240" s="2" t="s">
        <v>277</v>
      </c>
      <c r="B240" s="3" t="n">
        <v>46276</v>
      </c>
      <c r="C240" s="2" t="s">
        <v>27</v>
      </c>
      <c r="D240" s="2" t="s">
        <v>22</v>
      </c>
      <c r="E240" s="2" t="s">
        <v>28</v>
      </c>
      <c r="F240" s="2" t="s">
        <v>18</v>
      </c>
      <c r="G240" s="2" t="s">
        <v>19</v>
      </c>
      <c r="H240" s="2" t="n">
        <v>4.6</v>
      </c>
      <c r="I240" s="2" t="n">
        <v>8</v>
      </c>
      <c r="J240" s="2" t="s">
        <v>25</v>
      </c>
      <c r="K240" s="2" t="n">
        <v>5</v>
      </c>
      <c r="L240" s="3" t="n">
        <f aca="false">B240-WEEKDAY(B240,2)+1</f>
        <v>46272</v>
      </c>
      <c r="M240" s="4" t="n">
        <f aca="false">IFERROR(INDEX(02_Parâmetros!$B$14:$B$17,MATCH(C240,02_Parâmetros!$A$14:$A$17,0)),"")</f>
        <v>10</v>
      </c>
      <c r="N240" s="2" t="str">
        <f aca="false">IF(OR(H240="",M240=""),"",IF(H240&lt;=M240,"Sim","Não"))</f>
        <v>Sim</v>
      </c>
    </row>
    <row r="241" customFormat="false" ht="15" hidden="false" customHeight="false" outlineLevel="0" collapsed="false">
      <c r="A241" s="2" t="s">
        <v>278</v>
      </c>
      <c r="B241" s="3" t="n">
        <v>46276</v>
      </c>
      <c r="C241" s="2" t="s">
        <v>27</v>
      </c>
      <c r="D241" s="2" t="s">
        <v>38</v>
      </c>
      <c r="E241" s="2" t="s">
        <v>39</v>
      </c>
      <c r="F241" s="2" t="s">
        <v>42</v>
      </c>
      <c r="G241" s="2" t="s">
        <v>19</v>
      </c>
      <c r="H241" s="2" t="n">
        <v>7.5</v>
      </c>
      <c r="I241" s="2" t="n">
        <v>5.7</v>
      </c>
      <c r="J241" s="2" t="s">
        <v>20</v>
      </c>
      <c r="K241" s="2"/>
      <c r="L241" s="3" t="n">
        <f aca="false">B241-WEEKDAY(B241,2)+1</f>
        <v>46272</v>
      </c>
      <c r="M241" s="4" t="n">
        <f aca="false">IFERROR(INDEX(02_Parâmetros!$B$14:$B$17,MATCH(C241,02_Parâmetros!$A$14:$A$17,0)),"")</f>
        <v>10</v>
      </c>
      <c r="N241" s="2" t="str">
        <f aca="false">IF(OR(H241="",M241=""),"",IF(H241&lt;=M241,"Sim","Não"))</f>
        <v>Sim</v>
      </c>
    </row>
    <row r="242" customFormat="false" ht="15" hidden="false" customHeight="false" outlineLevel="0" collapsed="false">
      <c r="A242" s="2" t="s">
        <v>279</v>
      </c>
      <c r="B242" s="3" t="n">
        <v>46276</v>
      </c>
      <c r="C242" s="2" t="s">
        <v>44</v>
      </c>
      <c r="D242" s="2" t="s">
        <v>22</v>
      </c>
      <c r="E242" s="2" t="s">
        <v>28</v>
      </c>
      <c r="F242" s="2" t="s">
        <v>32</v>
      </c>
      <c r="G242" s="2" t="s">
        <v>19</v>
      </c>
      <c r="H242" s="2" t="n">
        <v>1.4</v>
      </c>
      <c r="I242" s="2" t="n">
        <v>10.3</v>
      </c>
      <c r="J242" s="2" t="s">
        <v>20</v>
      </c>
      <c r="K242" s="2"/>
      <c r="L242" s="3" t="n">
        <f aca="false">B242-WEEKDAY(B242,2)+1</f>
        <v>46272</v>
      </c>
      <c r="M242" s="4" t="n">
        <f aca="false">IFERROR(INDEX(02_Parâmetros!$B$14:$B$17,MATCH(C242,02_Parâmetros!$A$14:$A$17,0)),"")</f>
        <v>2</v>
      </c>
      <c r="N242" s="2" t="str">
        <f aca="false">IF(OR(H242="",M242=""),"",IF(H242&lt;=M242,"Sim","Não"))</f>
        <v>Sim</v>
      </c>
    </row>
    <row r="243" customFormat="false" ht="15" hidden="false" customHeight="false" outlineLevel="0" collapsed="false">
      <c r="A243" s="2" t="s">
        <v>280</v>
      </c>
      <c r="B243" s="3" t="n">
        <v>46276</v>
      </c>
      <c r="C243" s="2" t="s">
        <v>41</v>
      </c>
      <c r="D243" s="2" t="s">
        <v>16</v>
      </c>
      <c r="E243" s="2" t="s">
        <v>36</v>
      </c>
      <c r="F243" s="2" t="s">
        <v>24</v>
      </c>
      <c r="G243" s="2" t="s">
        <v>19</v>
      </c>
      <c r="H243" s="2" t="n">
        <v>64</v>
      </c>
      <c r="I243" s="2" t="n">
        <v>10.7</v>
      </c>
      <c r="J243" s="2" t="s">
        <v>25</v>
      </c>
      <c r="K243" s="2"/>
      <c r="L243" s="3" t="n">
        <f aca="false">B243-WEEKDAY(B243,2)+1</f>
        <v>46272</v>
      </c>
      <c r="M243" s="4" t="n">
        <f aca="false">IFERROR(INDEX(02_Parâmetros!$B$14:$B$17,MATCH(C243,02_Parâmetros!$A$14:$A$17,0)),"")</f>
        <v>240</v>
      </c>
      <c r="N243" s="2" t="str">
        <f aca="false">IF(OR(H243="",M243=""),"",IF(H243&lt;=M243,"Sim","Não"))</f>
        <v>Sim</v>
      </c>
    </row>
    <row r="244" customFormat="false" ht="15" hidden="false" customHeight="false" outlineLevel="0" collapsed="false">
      <c r="A244" s="2" t="s">
        <v>281</v>
      </c>
      <c r="B244" s="3" t="n">
        <v>46279</v>
      </c>
      <c r="C244" s="2" t="s">
        <v>41</v>
      </c>
      <c r="D244" s="2" t="s">
        <v>38</v>
      </c>
      <c r="E244" s="2" t="s">
        <v>39</v>
      </c>
      <c r="F244" s="2" t="s">
        <v>42</v>
      </c>
      <c r="G244" s="2" t="s">
        <v>19</v>
      </c>
      <c r="H244" s="2" t="n">
        <v>692.2</v>
      </c>
      <c r="I244" s="2" t="n">
        <v>12.2</v>
      </c>
      <c r="J244" s="2" t="s">
        <v>25</v>
      </c>
      <c r="K244" s="2" t="n">
        <v>5</v>
      </c>
      <c r="L244" s="3" t="n">
        <f aca="false">B244-WEEKDAY(B244,2)+1</f>
        <v>46279</v>
      </c>
      <c r="M244" s="4" t="n">
        <f aca="false">IFERROR(INDEX(02_Parâmetros!$B$14:$B$17,MATCH(C244,02_Parâmetros!$A$14:$A$17,0)),"")</f>
        <v>240</v>
      </c>
      <c r="N244" s="2" t="str">
        <f aca="false">IF(OR(H244="",M244=""),"",IF(H244&lt;=M244,"Sim","Não"))</f>
        <v>Não</v>
      </c>
    </row>
    <row r="245" customFormat="false" ht="15" hidden="false" customHeight="false" outlineLevel="0" collapsed="false">
      <c r="A245" s="2" t="s">
        <v>282</v>
      </c>
      <c r="B245" s="3" t="n">
        <v>46279</v>
      </c>
      <c r="C245" s="2" t="s">
        <v>15</v>
      </c>
      <c r="D245" s="2" t="s">
        <v>22</v>
      </c>
      <c r="E245" s="2" t="s">
        <v>28</v>
      </c>
      <c r="F245" s="2" t="s">
        <v>18</v>
      </c>
      <c r="G245" s="2" t="s">
        <v>19</v>
      </c>
      <c r="H245" s="2" t="n">
        <v>0.8</v>
      </c>
      <c r="I245" s="2" t="n">
        <v>14.6</v>
      </c>
      <c r="J245" s="2" t="s">
        <v>20</v>
      </c>
      <c r="K245" s="2"/>
      <c r="L245" s="3" t="n">
        <f aca="false">B245-WEEKDAY(B245,2)+1</f>
        <v>46279</v>
      </c>
      <c r="M245" s="4" t="n">
        <f aca="false">IFERROR(INDEX(02_Parâmetros!$B$14:$B$17,MATCH(C245,02_Parâmetros!$A$14:$A$17,0)),"")</f>
        <v>1</v>
      </c>
      <c r="N245" s="2" t="str">
        <f aca="false">IF(OR(H245="",M245=""),"",IF(H245&lt;=M245,"Sim","Não"))</f>
        <v>Sim</v>
      </c>
    </row>
    <row r="246" customFormat="false" ht="15" hidden="false" customHeight="false" outlineLevel="0" collapsed="false">
      <c r="A246" s="2" t="s">
        <v>283</v>
      </c>
      <c r="B246" s="3" t="n">
        <v>46279</v>
      </c>
      <c r="C246" s="2" t="s">
        <v>15</v>
      </c>
      <c r="D246" s="2" t="s">
        <v>22</v>
      </c>
      <c r="E246" s="2" t="s">
        <v>28</v>
      </c>
      <c r="F246" s="2" t="s">
        <v>32</v>
      </c>
      <c r="G246" s="2" t="s">
        <v>19</v>
      </c>
      <c r="H246" s="2" t="n">
        <v>0.5</v>
      </c>
      <c r="I246" s="2" t="n">
        <v>10</v>
      </c>
      <c r="J246" s="2" t="s">
        <v>20</v>
      </c>
      <c r="K246" s="2"/>
      <c r="L246" s="3" t="n">
        <f aca="false">B246-WEEKDAY(B246,2)+1</f>
        <v>46279</v>
      </c>
      <c r="M246" s="4" t="n">
        <f aca="false">IFERROR(INDEX(02_Parâmetros!$B$14:$B$17,MATCH(C246,02_Parâmetros!$A$14:$A$17,0)),"")</f>
        <v>1</v>
      </c>
      <c r="N246" s="2" t="str">
        <f aca="false">IF(OR(H246="",M246=""),"",IF(H246&lt;=M246,"Sim","Não"))</f>
        <v>Sim</v>
      </c>
    </row>
    <row r="247" customFormat="false" ht="15" hidden="false" customHeight="false" outlineLevel="0" collapsed="false">
      <c r="A247" s="2" t="s">
        <v>284</v>
      </c>
      <c r="B247" s="3" t="n">
        <v>46279</v>
      </c>
      <c r="C247" s="2" t="s">
        <v>27</v>
      </c>
      <c r="D247" s="2" t="s">
        <v>38</v>
      </c>
      <c r="E247" s="2" t="s">
        <v>47</v>
      </c>
      <c r="F247" s="2" t="s">
        <v>32</v>
      </c>
      <c r="G247" s="2" t="s">
        <v>19</v>
      </c>
      <c r="H247" s="2" t="n">
        <v>7.3</v>
      </c>
      <c r="I247" s="2" t="n">
        <v>8.9</v>
      </c>
      <c r="J247" s="2" t="s">
        <v>20</v>
      </c>
      <c r="K247" s="2"/>
      <c r="L247" s="3" t="n">
        <f aca="false">B247-WEEKDAY(B247,2)+1</f>
        <v>46279</v>
      </c>
      <c r="M247" s="4" t="n">
        <f aca="false">IFERROR(INDEX(02_Parâmetros!$B$14:$B$17,MATCH(C247,02_Parâmetros!$A$14:$A$17,0)),"")</f>
        <v>10</v>
      </c>
      <c r="N247" s="2" t="str">
        <f aca="false">IF(OR(H247="",M247=""),"",IF(H247&lt;=M247,"Sim","Não"))</f>
        <v>Sim</v>
      </c>
    </row>
    <row r="248" customFormat="false" ht="15" hidden="false" customHeight="false" outlineLevel="0" collapsed="false">
      <c r="A248" s="2" t="s">
        <v>285</v>
      </c>
      <c r="B248" s="3" t="n">
        <v>46279</v>
      </c>
      <c r="C248" s="2" t="s">
        <v>44</v>
      </c>
      <c r="D248" s="2" t="s">
        <v>38</v>
      </c>
      <c r="E248" s="2" t="s">
        <v>47</v>
      </c>
      <c r="F248" s="2" t="s">
        <v>42</v>
      </c>
      <c r="G248" s="2" t="s">
        <v>19</v>
      </c>
      <c r="H248" s="2" t="n">
        <v>1.3</v>
      </c>
      <c r="I248" s="2" t="n">
        <v>5.4</v>
      </c>
      <c r="J248" s="2" t="s">
        <v>20</v>
      </c>
      <c r="K248" s="2"/>
      <c r="L248" s="3" t="n">
        <f aca="false">B248-WEEKDAY(B248,2)+1</f>
        <v>46279</v>
      </c>
      <c r="M248" s="4" t="n">
        <f aca="false">IFERROR(INDEX(02_Parâmetros!$B$14:$B$17,MATCH(C248,02_Parâmetros!$A$14:$A$17,0)),"")</f>
        <v>2</v>
      </c>
      <c r="N248" s="2" t="str">
        <f aca="false">IF(OR(H248="",M248=""),"",IF(H248&lt;=M248,"Sim","Não"))</f>
        <v>Sim</v>
      </c>
    </row>
    <row r="249" customFormat="false" ht="15" hidden="false" customHeight="false" outlineLevel="0" collapsed="false">
      <c r="A249" s="2" t="s">
        <v>286</v>
      </c>
      <c r="B249" s="3" t="n">
        <v>46279</v>
      </c>
      <c r="C249" s="2" t="s">
        <v>27</v>
      </c>
      <c r="D249" s="2" t="s">
        <v>22</v>
      </c>
      <c r="E249" s="2" t="s">
        <v>23</v>
      </c>
      <c r="F249" s="2" t="s">
        <v>32</v>
      </c>
      <c r="G249" s="2" t="s">
        <v>19</v>
      </c>
      <c r="H249" s="2" t="n">
        <v>22</v>
      </c>
      <c r="I249" s="2" t="n">
        <v>7.5</v>
      </c>
      <c r="J249" s="2" t="s">
        <v>20</v>
      </c>
      <c r="K249" s="2"/>
      <c r="L249" s="3" t="n">
        <f aca="false">B249-WEEKDAY(B249,2)+1</f>
        <v>46279</v>
      </c>
      <c r="M249" s="4" t="n">
        <f aca="false">IFERROR(INDEX(02_Parâmetros!$B$14:$B$17,MATCH(C249,02_Parâmetros!$A$14:$A$17,0)),"")</f>
        <v>10</v>
      </c>
      <c r="N249" s="2" t="str">
        <f aca="false">IF(OR(H249="",M249=""),"",IF(H249&lt;=M249,"Sim","Não"))</f>
        <v>Não</v>
      </c>
    </row>
    <row r="250" customFormat="false" ht="15" hidden="false" customHeight="false" outlineLevel="0" collapsed="false">
      <c r="A250" s="2" t="s">
        <v>287</v>
      </c>
      <c r="B250" s="3" t="n">
        <v>46279</v>
      </c>
      <c r="C250" s="2" t="s">
        <v>44</v>
      </c>
      <c r="D250" s="2" t="s">
        <v>16</v>
      </c>
      <c r="E250" s="2" t="s">
        <v>36</v>
      </c>
      <c r="F250" s="2" t="s">
        <v>18</v>
      </c>
      <c r="G250" s="2" t="s">
        <v>19</v>
      </c>
      <c r="H250" s="2" t="n">
        <v>0.6</v>
      </c>
      <c r="I250" s="2" t="n">
        <v>9.1</v>
      </c>
      <c r="J250" s="2" t="s">
        <v>20</v>
      </c>
      <c r="K250" s="2"/>
      <c r="L250" s="3" t="n">
        <f aca="false">B250-WEEKDAY(B250,2)+1</f>
        <v>46279</v>
      </c>
      <c r="M250" s="4" t="n">
        <f aca="false">IFERROR(INDEX(02_Parâmetros!$B$14:$B$17,MATCH(C250,02_Parâmetros!$A$14:$A$17,0)),"")</f>
        <v>2</v>
      </c>
      <c r="N250" s="2" t="str">
        <f aca="false">IF(OR(H250="",M250=""),"",IF(H250&lt;=M250,"Sim","Não"))</f>
        <v>Sim</v>
      </c>
    </row>
    <row r="251" customFormat="false" ht="15" hidden="false" customHeight="false" outlineLevel="0" collapsed="false">
      <c r="A251" s="2" t="s">
        <v>288</v>
      </c>
      <c r="B251" s="3" t="n">
        <v>46279</v>
      </c>
      <c r="C251" s="2" t="s">
        <v>27</v>
      </c>
      <c r="D251" s="2" t="s">
        <v>16</v>
      </c>
      <c r="E251" s="2" t="s">
        <v>31</v>
      </c>
      <c r="F251" s="2" t="s">
        <v>32</v>
      </c>
      <c r="G251" s="2" t="s">
        <v>19</v>
      </c>
      <c r="H251" s="2" t="n">
        <v>19.9</v>
      </c>
      <c r="I251" s="2" t="n">
        <v>8.8</v>
      </c>
      <c r="J251" s="2" t="s">
        <v>20</v>
      </c>
      <c r="K251" s="2" t="n">
        <v>5</v>
      </c>
      <c r="L251" s="3" t="n">
        <f aca="false">B251-WEEKDAY(B251,2)+1</f>
        <v>46279</v>
      </c>
      <c r="M251" s="4" t="n">
        <f aca="false">IFERROR(INDEX(02_Parâmetros!$B$14:$B$17,MATCH(C251,02_Parâmetros!$A$14:$A$17,0)),"")</f>
        <v>10</v>
      </c>
      <c r="N251" s="2" t="str">
        <f aca="false">IF(OR(H251="",M251=""),"",IF(H251&lt;=M251,"Sim","Não"))</f>
        <v>Não</v>
      </c>
    </row>
    <row r="252" customFormat="false" ht="15" hidden="false" customHeight="false" outlineLevel="0" collapsed="false">
      <c r="A252" s="2" t="s">
        <v>289</v>
      </c>
      <c r="B252" s="3" t="n">
        <v>46279</v>
      </c>
      <c r="C252" s="2" t="s">
        <v>15</v>
      </c>
      <c r="D252" s="2" t="s">
        <v>22</v>
      </c>
      <c r="E252" s="2" t="s">
        <v>28</v>
      </c>
      <c r="F252" s="2" t="s">
        <v>18</v>
      </c>
      <c r="G252" s="2" t="s">
        <v>19</v>
      </c>
      <c r="H252" s="2" t="n">
        <v>1.9</v>
      </c>
      <c r="I252" s="2" t="n">
        <v>16.7</v>
      </c>
      <c r="J252" s="2" t="s">
        <v>20</v>
      </c>
      <c r="K252" s="2"/>
      <c r="L252" s="3" t="n">
        <f aca="false">B252-WEEKDAY(B252,2)+1</f>
        <v>46279</v>
      </c>
      <c r="M252" s="4" t="n">
        <f aca="false">IFERROR(INDEX(02_Parâmetros!$B$14:$B$17,MATCH(C252,02_Parâmetros!$A$14:$A$17,0)),"")</f>
        <v>1</v>
      </c>
      <c r="N252" s="2" t="str">
        <f aca="false">IF(OR(H252="",M252=""),"",IF(H252&lt;=M252,"Sim","Não"))</f>
        <v>Não</v>
      </c>
    </row>
    <row r="253" customFormat="false" ht="15" hidden="false" customHeight="false" outlineLevel="0" collapsed="false">
      <c r="A253" s="2" t="s">
        <v>290</v>
      </c>
      <c r="B253" s="3" t="n">
        <v>46279</v>
      </c>
      <c r="C253" s="2" t="s">
        <v>44</v>
      </c>
      <c r="D253" s="2" t="s">
        <v>22</v>
      </c>
      <c r="E253" s="2" t="s">
        <v>28</v>
      </c>
      <c r="F253" s="2" t="s">
        <v>42</v>
      </c>
      <c r="G253" s="2" t="s">
        <v>19</v>
      </c>
      <c r="H253" s="2" t="n">
        <v>0.6</v>
      </c>
      <c r="I253" s="2" t="n">
        <v>5.2</v>
      </c>
      <c r="J253" s="2" t="s">
        <v>20</v>
      </c>
      <c r="K253" s="2"/>
      <c r="L253" s="3" t="n">
        <f aca="false">B253-WEEKDAY(B253,2)+1</f>
        <v>46279</v>
      </c>
      <c r="M253" s="4" t="n">
        <f aca="false">IFERROR(INDEX(02_Parâmetros!$B$14:$B$17,MATCH(C253,02_Parâmetros!$A$14:$A$17,0)),"")</f>
        <v>2</v>
      </c>
      <c r="N253" s="2" t="str">
        <f aca="false">IF(OR(H253="",M253=""),"",IF(H253&lt;=M253,"Sim","Não"))</f>
        <v>Sim</v>
      </c>
    </row>
    <row r="254" customFormat="false" ht="15" hidden="false" customHeight="false" outlineLevel="0" collapsed="false">
      <c r="A254" s="2" t="s">
        <v>291</v>
      </c>
      <c r="B254" s="3" t="n">
        <v>46279</v>
      </c>
      <c r="C254" s="2" t="s">
        <v>27</v>
      </c>
      <c r="D254" s="2" t="s">
        <v>16</v>
      </c>
      <c r="E254" s="2" t="s">
        <v>31</v>
      </c>
      <c r="F254" s="2" t="s">
        <v>34</v>
      </c>
      <c r="G254" s="2" t="s">
        <v>19</v>
      </c>
      <c r="H254" s="2" t="n">
        <v>7.4</v>
      </c>
      <c r="I254" s="2" t="n">
        <v>5.7</v>
      </c>
      <c r="J254" s="2" t="s">
        <v>20</v>
      </c>
      <c r="K254" s="2" t="n">
        <v>5</v>
      </c>
      <c r="L254" s="3" t="n">
        <f aca="false">B254-WEEKDAY(B254,2)+1</f>
        <v>46279</v>
      </c>
      <c r="M254" s="4" t="n">
        <f aca="false">IFERROR(INDEX(02_Parâmetros!$B$14:$B$17,MATCH(C254,02_Parâmetros!$A$14:$A$17,0)),"")</f>
        <v>10</v>
      </c>
      <c r="N254" s="2" t="str">
        <f aca="false">IF(OR(H254="",M254=""),"",IF(H254&lt;=M254,"Sim","Não"))</f>
        <v>Sim</v>
      </c>
    </row>
    <row r="255" customFormat="false" ht="15" hidden="false" customHeight="false" outlineLevel="0" collapsed="false">
      <c r="A255" s="2" t="s">
        <v>292</v>
      </c>
      <c r="B255" s="3" t="n">
        <v>46279</v>
      </c>
      <c r="C255" s="2" t="s">
        <v>44</v>
      </c>
      <c r="D255" s="2" t="s">
        <v>16</v>
      </c>
      <c r="E255" s="2" t="s">
        <v>36</v>
      </c>
      <c r="F255" s="2" t="s">
        <v>42</v>
      </c>
      <c r="G255" s="2" t="s">
        <v>19</v>
      </c>
      <c r="H255" s="2" t="n">
        <v>1.7</v>
      </c>
      <c r="I255" s="2" t="n">
        <v>7.4</v>
      </c>
      <c r="J255" s="2" t="s">
        <v>20</v>
      </c>
      <c r="K255" s="2"/>
      <c r="L255" s="3" t="n">
        <f aca="false">B255-WEEKDAY(B255,2)+1</f>
        <v>46279</v>
      </c>
      <c r="M255" s="4" t="n">
        <f aca="false">IFERROR(INDEX(02_Parâmetros!$B$14:$B$17,MATCH(C255,02_Parâmetros!$A$14:$A$17,0)),"")</f>
        <v>2</v>
      </c>
      <c r="N255" s="2" t="str">
        <f aca="false">IF(OR(H255="",M255=""),"",IF(H255&lt;=M255,"Sim","Não"))</f>
        <v>Sim</v>
      </c>
    </row>
    <row r="256" customFormat="false" ht="15" hidden="false" customHeight="false" outlineLevel="0" collapsed="false">
      <c r="A256" s="2" t="s">
        <v>293</v>
      </c>
      <c r="B256" s="3" t="n">
        <v>46279</v>
      </c>
      <c r="C256" s="2" t="s">
        <v>44</v>
      </c>
      <c r="D256" s="2" t="s">
        <v>38</v>
      </c>
      <c r="E256" s="2" t="s">
        <v>39</v>
      </c>
      <c r="F256" s="2" t="s">
        <v>18</v>
      </c>
      <c r="G256" s="2" t="s">
        <v>19</v>
      </c>
      <c r="H256" s="2" t="n">
        <v>0.5</v>
      </c>
      <c r="I256" s="2" t="n">
        <v>11.3</v>
      </c>
      <c r="J256" s="2" t="s">
        <v>25</v>
      </c>
      <c r="K256" s="2"/>
      <c r="L256" s="3" t="n">
        <f aca="false">B256-WEEKDAY(B256,2)+1</f>
        <v>46279</v>
      </c>
      <c r="M256" s="4" t="n">
        <f aca="false">IFERROR(INDEX(02_Parâmetros!$B$14:$B$17,MATCH(C256,02_Parâmetros!$A$14:$A$17,0)),"")</f>
        <v>2</v>
      </c>
      <c r="N256" s="2" t="str">
        <f aca="false">IF(OR(H256="",M256=""),"",IF(H256&lt;=M256,"Sim","Não"))</f>
        <v>Sim</v>
      </c>
    </row>
    <row r="257" customFormat="false" ht="15" hidden="false" customHeight="false" outlineLevel="0" collapsed="false">
      <c r="A257" s="2" t="s">
        <v>294</v>
      </c>
      <c r="B257" s="3" t="n">
        <v>46279</v>
      </c>
      <c r="C257" s="2" t="s">
        <v>27</v>
      </c>
      <c r="D257" s="2" t="s">
        <v>22</v>
      </c>
      <c r="E257" s="2" t="s">
        <v>23</v>
      </c>
      <c r="F257" s="2" t="s">
        <v>24</v>
      </c>
      <c r="G257" s="2" t="s">
        <v>19</v>
      </c>
      <c r="H257" s="2" t="n">
        <v>4.7</v>
      </c>
      <c r="I257" s="2" t="n">
        <v>9.5</v>
      </c>
      <c r="J257" s="2" t="s">
        <v>20</v>
      </c>
      <c r="K257" s="2" t="n">
        <v>5</v>
      </c>
      <c r="L257" s="3" t="n">
        <f aca="false">B257-WEEKDAY(B257,2)+1</f>
        <v>46279</v>
      </c>
      <c r="M257" s="4" t="n">
        <f aca="false">IFERROR(INDEX(02_Parâmetros!$B$14:$B$17,MATCH(C257,02_Parâmetros!$A$14:$A$17,0)),"")</f>
        <v>10</v>
      </c>
      <c r="N257" s="2" t="str">
        <f aca="false">IF(OR(H257="",M257=""),"",IF(H257&lt;=M257,"Sim","Não"))</f>
        <v>Sim</v>
      </c>
    </row>
    <row r="258" customFormat="false" ht="15" hidden="false" customHeight="false" outlineLevel="0" collapsed="false">
      <c r="A258" s="2" t="s">
        <v>295</v>
      </c>
      <c r="B258" s="3" t="n">
        <v>46279</v>
      </c>
      <c r="C258" s="2" t="s">
        <v>15</v>
      </c>
      <c r="D258" s="2" t="s">
        <v>16</v>
      </c>
      <c r="E258" s="2" t="s">
        <v>17</v>
      </c>
      <c r="F258" s="2" t="s">
        <v>18</v>
      </c>
      <c r="G258" s="2" t="s">
        <v>19</v>
      </c>
      <c r="H258" s="2" t="n">
        <v>0.9</v>
      </c>
      <c r="I258" s="2" t="n">
        <v>11.4</v>
      </c>
      <c r="J258" s="2" t="s">
        <v>20</v>
      </c>
      <c r="K258" s="2"/>
      <c r="L258" s="3" t="n">
        <f aca="false">B258-WEEKDAY(B258,2)+1</f>
        <v>46279</v>
      </c>
      <c r="M258" s="4" t="n">
        <f aca="false">IFERROR(INDEX(02_Parâmetros!$B$14:$B$17,MATCH(C258,02_Parâmetros!$A$14:$A$17,0)),"")</f>
        <v>1</v>
      </c>
      <c r="N258" s="2" t="str">
        <f aca="false">IF(OR(H258="",M258=""),"",IF(H258&lt;=M258,"Sim","Não"))</f>
        <v>Sim</v>
      </c>
    </row>
    <row r="259" customFormat="false" ht="15" hidden="false" customHeight="false" outlineLevel="0" collapsed="false">
      <c r="A259" s="2" t="s">
        <v>296</v>
      </c>
      <c r="B259" s="3" t="n">
        <v>46279</v>
      </c>
      <c r="C259" s="2" t="s">
        <v>44</v>
      </c>
      <c r="D259" s="2" t="s">
        <v>38</v>
      </c>
      <c r="E259" s="2" t="s">
        <v>56</v>
      </c>
      <c r="F259" s="2" t="s">
        <v>24</v>
      </c>
      <c r="G259" s="2" t="s">
        <v>19</v>
      </c>
      <c r="H259" s="2" t="n">
        <v>1.7</v>
      </c>
      <c r="I259" s="2" t="n">
        <v>9.1</v>
      </c>
      <c r="J259" s="2" t="s">
        <v>20</v>
      </c>
      <c r="K259" s="2" t="n">
        <v>4</v>
      </c>
      <c r="L259" s="3" t="n">
        <f aca="false">B259-WEEKDAY(B259,2)+1</f>
        <v>46279</v>
      </c>
      <c r="M259" s="4" t="n">
        <f aca="false">IFERROR(INDEX(02_Parâmetros!$B$14:$B$17,MATCH(C259,02_Parâmetros!$A$14:$A$17,0)),"")</f>
        <v>2</v>
      </c>
      <c r="N259" s="2" t="str">
        <f aca="false">IF(OR(H259="",M259=""),"",IF(H259&lt;=M259,"Sim","Não"))</f>
        <v>Sim</v>
      </c>
    </row>
    <row r="260" customFormat="false" ht="15" hidden="false" customHeight="false" outlineLevel="0" collapsed="false">
      <c r="A260" s="2" t="s">
        <v>297</v>
      </c>
      <c r="B260" s="3" t="n">
        <v>46279</v>
      </c>
      <c r="C260" s="2" t="s">
        <v>27</v>
      </c>
      <c r="D260" s="2" t="s">
        <v>22</v>
      </c>
      <c r="E260" s="2" t="s">
        <v>28</v>
      </c>
      <c r="F260" s="2" t="s">
        <v>34</v>
      </c>
      <c r="G260" s="2" t="s">
        <v>19</v>
      </c>
      <c r="H260" s="2" t="n">
        <v>9.7</v>
      </c>
      <c r="I260" s="2" t="n">
        <v>4</v>
      </c>
      <c r="J260" s="2" t="s">
        <v>25</v>
      </c>
      <c r="K260" s="2"/>
      <c r="L260" s="3" t="n">
        <f aca="false">B260-WEEKDAY(B260,2)+1</f>
        <v>46279</v>
      </c>
      <c r="M260" s="4" t="n">
        <f aca="false">IFERROR(INDEX(02_Parâmetros!$B$14:$B$17,MATCH(C260,02_Parâmetros!$A$14:$A$17,0)),"")</f>
        <v>10</v>
      </c>
      <c r="N260" s="2" t="str">
        <f aca="false">IF(OR(H260="",M260=""),"",IF(H260&lt;=M260,"Sim","Não"))</f>
        <v>Sim</v>
      </c>
    </row>
    <row r="261" customFormat="false" ht="15" hidden="false" customHeight="false" outlineLevel="0" collapsed="false">
      <c r="A261" s="2" t="s">
        <v>298</v>
      </c>
      <c r="B261" s="3" t="n">
        <v>46279</v>
      </c>
      <c r="C261" s="2" t="s">
        <v>27</v>
      </c>
      <c r="D261" s="2" t="s">
        <v>38</v>
      </c>
      <c r="E261" s="2" t="s">
        <v>39</v>
      </c>
      <c r="F261" s="2" t="s">
        <v>32</v>
      </c>
      <c r="G261" s="2" t="s">
        <v>19</v>
      </c>
      <c r="H261" s="2" t="n">
        <v>5.6</v>
      </c>
      <c r="I261" s="2" t="n">
        <v>7.4</v>
      </c>
      <c r="J261" s="2" t="s">
        <v>20</v>
      </c>
      <c r="K261" s="2" t="n">
        <v>5</v>
      </c>
      <c r="L261" s="3" t="n">
        <f aca="false">B261-WEEKDAY(B261,2)+1</f>
        <v>46279</v>
      </c>
      <c r="M261" s="4" t="n">
        <f aca="false">IFERROR(INDEX(02_Parâmetros!$B$14:$B$17,MATCH(C261,02_Parâmetros!$A$14:$A$17,0)),"")</f>
        <v>10</v>
      </c>
      <c r="N261" s="2" t="str">
        <f aca="false">IF(OR(H261="",M261=""),"",IF(H261&lt;=M261,"Sim","Não"))</f>
        <v>Sim</v>
      </c>
    </row>
    <row r="262" customFormat="false" ht="15" hidden="false" customHeight="false" outlineLevel="0" collapsed="false">
      <c r="A262" s="2" t="s">
        <v>299</v>
      </c>
      <c r="B262" s="3" t="n">
        <v>46279</v>
      </c>
      <c r="C262" s="2" t="s">
        <v>44</v>
      </c>
      <c r="D262" s="2" t="s">
        <v>38</v>
      </c>
      <c r="E262" s="2" t="s">
        <v>47</v>
      </c>
      <c r="F262" s="2" t="s">
        <v>70</v>
      </c>
      <c r="G262" s="2" t="s">
        <v>19</v>
      </c>
      <c r="H262" s="2" t="n">
        <v>0.8</v>
      </c>
      <c r="I262" s="2" t="n">
        <v>6.3</v>
      </c>
      <c r="J262" s="2" t="s">
        <v>20</v>
      </c>
      <c r="K262" s="2"/>
      <c r="L262" s="3" t="n">
        <f aca="false">B262-WEEKDAY(B262,2)+1</f>
        <v>46279</v>
      </c>
      <c r="M262" s="4" t="n">
        <f aca="false">IFERROR(INDEX(02_Parâmetros!$B$14:$B$17,MATCH(C262,02_Parâmetros!$A$14:$A$17,0)),"")</f>
        <v>2</v>
      </c>
      <c r="N262" s="2" t="str">
        <f aca="false">IF(OR(H262="",M262=""),"",IF(H262&lt;=M262,"Sim","Não"))</f>
        <v>Sim</v>
      </c>
    </row>
    <row r="263" customFormat="false" ht="15" hidden="false" customHeight="false" outlineLevel="0" collapsed="false">
      <c r="A263" s="2" t="s">
        <v>300</v>
      </c>
      <c r="B263" s="3" t="n">
        <v>46279</v>
      </c>
      <c r="C263" s="2" t="s">
        <v>44</v>
      </c>
      <c r="D263" s="2" t="s">
        <v>16</v>
      </c>
      <c r="E263" s="2" t="s">
        <v>17</v>
      </c>
      <c r="F263" s="2" t="s">
        <v>42</v>
      </c>
      <c r="G263" s="2" t="s">
        <v>19</v>
      </c>
      <c r="H263" s="2" t="n">
        <v>0.9</v>
      </c>
      <c r="I263" s="2" t="n">
        <v>7.1</v>
      </c>
      <c r="J263" s="2" t="s">
        <v>25</v>
      </c>
      <c r="K263" s="2"/>
      <c r="L263" s="3" t="n">
        <f aca="false">B263-WEEKDAY(B263,2)+1</f>
        <v>46279</v>
      </c>
      <c r="M263" s="4" t="n">
        <f aca="false">IFERROR(INDEX(02_Parâmetros!$B$14:$B$17,MATCH(C263,02_Parâmetros!$A$14:$A$17,0)),"")</f>
        <v>2</v>
      </c>
      <c r="N263" s="2" t="str">
        <f aca="false">IF(OR(H263="",M263=""),"",IF(H263&lt;=M263,"Sim","Não"))</f>
        <v>Sim</v>
      </c>
    </row>
    <row r="264" customFormat="false" ht="15" hidden="false" customHeight="false" outlineLevel="0" collapsed="false">
      <c r="A264" s="2" t="s">
        <v>301</v>
      </c>
      <c r="B264" s="3" t="n">
        <v>46279</v>
      </c>
      <c r="C264" s="2" t="s">
        <v>27</v>
      </c>
      <c r="D264" s="2" t="s">
        <v>16</v>
      </c>
      <c r="E264" s="2" t="s">
        <v>36</v>
      </c>
      <c r="F264" s="2" t="s">
        <v>18</v>
      </c>
      <c r="G264" s="2" t="s">
        <v>19</v>
      </c>
      <c r="H264" s="2" t="n">
        <v>4</v>
      </c>
      <c r="I264" s="2" t="n">
        <v>6.9</v>
      </c>
      <c r="J264" s="2" t="s">
        <v>20</v>
      </c>
      <c r="K264" s="2"/>
      <c r="L264" s="3" t="n">
        <f aca="false">B264-WEEKDAY(B264,2)+1</f>
        <v>46279</v>
      </c>
      <c r="M264" s="4" t="n">
        <f aca="false">IFERROR(INDEX(02_Parâmetros!$B$14:$B$17,MATCH(C264,02_Parâmetros!$A$14:$A$17,0)),"")</f>
        <v>10</v>
      </c>
      <c r="N264" s="2" t="str">
        <f aca="false">IF(OR(H264="",M264=""),"",IF(H264&lt;=M264,"Sim","Não"))</f>
        <v>Sim</v>
      </c>
    </row>
    <row r="265" customFormat="false" ht="15" hidden="false" customHeight="false" outlineLevel="0" collapsed="false">
      <c r="A265" s="2" t="s">
        <v>302</v>
      </c>
      <c r="B265" s="3" t="n">
        <v>46279</v>
      </c>
      <c r="C265" s="2" t="s">
        <v>15</v>
      </c>
      <c r="D265" s="2" t="s">
        <v>38</v>
      </c>
      <c r="E265" s="2" t="s">
        <v>47</v>
      </c>
      <c r="F265" s="2" t="s">
        <v>18</v>
      </c>
      <c r="G265" s="2" t="s">
        <v>19</v>
      </c>
      <c r="H265" s="2" t="n">
        <v>0.5</v>
      </c>
      <c r="I265" s="2" t="n">
        <v>9.9</v>
      </c>
      <c r="J265" s="2" t="s">
        <v>20</v>
      </c>
      <c r="K265" s="2" t="n">
        <v>4</v>
      </c>
      <c r="L265" s="3" t="n">
        <f aca="false">B265-WEEKDAY(B265,2)+1</f>
        <v>46279</v>
      </c>
      <c r="M265" s="4" t="n">
        <f aca="false">IFERROR(INDEX(02_Parâmetros!$B$14:$B$17,MATCH(C265,02_Parâmetros!$A$14:$A$17,0)),"")</f>
        <v>1</v>
      </c>
      <c r="N265" s="2" t="str">
        <f aca="false">IF(OR(H265="",M265=""),"",IF(H265&lt;=M265,"Sim","Não"))</f>
        <v>Sim</v>
      </c>
    </row>
    <row r="266" customFormat="false" ht="15" hidden="false" customHeight="false" outlineLevel="0" collapsed="false">
      <c r="A266" s="2" t="s">
        <v>303</v>
      </c>
      <c r="B266" s="3" t="n">
        <v>46279</v>
      </c>
      <c r="C266" s="2" t="s">
        <v>44</v>
      </c>
      <c r="D266" s="2" t="s">
        <v>16</v>
      </c>
      <c r="E266" s="2" t="s">
        <v>17</v>
      </c>
      <c r="F266" s="2" t="s">
        <v>32</v>
      </c>
      <c r="G266" s="2" t="s">
        <v>19</v>
      </c>
      <c r="H266" s="2" t="n">
        <v>0.7</v>
      </c>
      <c r="I266" s="2" t="n">
        <v>5.5</v>
      </c>
      <c r="J266" s="2" t="s">
        <v>20</v>
      </c>
      <c r="K266" s="2"/>
      <c r="L266" s="3" t="n">
        <f aca="false">B266-WEEKDAY(B266,2)+1</f>
        <v>46279</v>
      </c>
      <c r="M266" s="4" t="n">
        <f aca="false">IFERROR(INDEX(02_Parâmetros!$B$14:$B$17,MATCH(C266,02_Parâmetros!$A$14:$A$17,0)),"")</f>
        <v>2</v>
      </c>
      <c r="N266" s="2" t="str">
        <f aca="false">IF(OR(H266="",M266=""),"",IF(H266&lt;=M266,"Sim","Não"))</f>
        <v>Sim</v>
      </c>
    </row>
    <row r="267" customFormat="false" ht="15" hidden="false" customHeight="false" outlineLevel="0" collapsed="false">
      <c r="A267" s="2" t="s">
        <v>304</v>
      </c>
      <c r="B267" s="3" t="n">
        <v>46279</v>
      </c>
      <c r="C267" s="2" t="s">
        <v>41</v>
      </c>
      <c r="D267" s="2" t="s">
        <v>16</v>
      </c>
      <c r="E267" s="2" t="s">
        <v>36</v>
      </c>
      <c r="F267" s="2" t="s">
        <v>32</v>
      </c>
      <c r="G267" s="2" t="s">
        <v>19</v>
      </c>
      <c r="H267" s="2" t="n">
        <v>104.8</v>
      </c>
      <c r="I267" s="2" t="n">
        <v>11.7</v>
      </c>
      <c r="J267" s="2" t="s">
        <v>20</v>
      </c>
      <c r="K267" s="2"/>
      <c r="L267" s="3" t="n">
        <f aca="false">B267-WEEKDAY(B267,2)+1</f>
        <v>46279</v>
      </c>
      <c r="M267" s="4" t="n">
        <f aca="false">IFERROR(INDEX(02_Parâmetros!$B$14:$B$17,MATCH(C267,02_Parâmetros!$A$14:$A$17,0)),"")</f>
        <v>240</v>
      </c>
      <c r="N267" s="2" t="str">
        <f aca="false">IF(OR(H267="",M267=""),"",IF(H267&lt;=M267,"Sim","Não"))</f>
        <v>Sim</v>
      </c>
    </row>
    <row r="268" customFormat="false" ht="15" hidden="false" customHeight="false" outlineLevel="0" collapsed="false">
      <c r="A268" s="2" t="s">
        <v>305</v>
      </c>
      <c r="B268" s="3" t="n">
        <v>46279</v>
      </c>
      <c r="C268" s="2" t="s">
        <v>27</v>
      </c>
      <c r="D268" s="2" t="s">
        <v>38</v>
      </c>
      <c r="E268" s="2" t="s">
        <v>56</v>
      </c>
      <c r="F268" s="2" t="s">
        <v>32</v>
      </c>
      <c r="G268" s="2" t="s">
        <v>19</v>
      </c>
      <c r="H268" s="2"/>
      <c r="I268" s="2" t="n">
        <v>4.1</v>
      </c>
      <c r="J268" s="2" t="s">
        <v>25</v>
      </c>
      <c r="K268" s="2" t="n">
        <v>4</v>
      </c>
      <c r="L268" s="3" t="n">
        <f aca="false">B268-WEEKDAY(B268,2)+1</f>
        <v>46279</v>
      </c>
      <c r="M268" s="4" t="n">
        <f aca="false">IFERROR(INDEX(02_Parâmetros!$B$14:$B$17,MATCH(C268,02_Parâmetros!$A$14:$A$17,0)),"")</f>
        <v>10</v>
      </c>
      <c r="N268" s="2" t="str">
        <f aca="false">IF(OR(H268="",M268=""),"",IF(H268&lt;=M268,"Sim","Não"))</f>
        <v/>
      </c>
    </row>
    <row r="269" customFormat="false" ht="15" hidden="false" customHeight="false" outlineLevel="0" collapsed="false">
      <c r="A269" s="2" t="s">
        <v>306</v>
      </c>
      <c r="B269" s="3" t="n">
        <v>46279</v>
      </c>
      <c r="C269" s="2" t="s">
        <v>41</v>
      </c>
      <c r="D269" s="2" t="s">
        <v>22</v>
      </c>
      <c r="E269" s="2" t="s">
        <v>23</v>
      </c>
      <c r="F269" s="2" t="s">
        <v>42</v>
      </c>
      <c r="G269" s="2" t="s">
        <v>19</v>
      </c>
      <c r="H269" s="2" t="n">
        <v>197.8</v>
      </c>
      <c r="I269" s="2" t="n">
        <v>10.5</v>
      </c>
      <c r="J269" s="2" t="s">
        <v>20</v>
      </c>
      <c r="K269" s="2" t="n">
        <v>4</v>
      </c>
      <c r="L269" s="3" t="n">
        <f aca="false">B269-WEEKDAY(B269,2)+1</f>
        <v>46279</v>
      </c>
      <c r="M269" s="4" t="n">
        <f aca="false">IFERROR(INDEX(02_Parâmetros!$B$14:$B$17,MATCH(C269,02_Parâmetros!$A$14:$A$17,0)),"")</f>
        <v>240</v>
      </c>
      <c r="N269" s="2" t="str">
        <f aca="false">IF(OR(H269="",M269=""),"",IF(H269&lt;=M269,"Sim","Não"))</f>
        <v>Sim</v>
      </c>
    </row>
    <row r="270" customFormat="false" ht="15" hidden="false" customHeight="false" outlineLevel="0" collapsed="false">
      <c r="A270" s="2" t="s">
        <v>307</v>
      </c>
      <c r="B270" s="3" t="n">
        <v>46280</v>
      </c>
      <c r="C270" s="2" t="s">
        <v>27</v>
      </c>
      <c r="D270" s="2" t="s">
        <v>38</v>
      </c>
      <c r="E270" s="2" t="s">
        <v>56</v>
      </c>
      <c r="F270" s="2" t="s">
        <v>24</v>
      </c>
      <c r="G270" s="2" t="s">
        <v>19</v>
      </c>
      <c r="H270" s="2" t="n">
        <v>8.9</v>
      </c>
      <c r="I270" s="2" t="n">
        <v>11.7</v>
      </c>
      <c r="J270" s="2" t="s">
        <v>20</v>
      </c>
      <c r="K270" s="2"/>
      <c r="L270" s="3" t="n">
        <f aca="false">B270-WEEKDAY(B270,2)+1</f>
        <v>46279</v>
      </c>
      <c r="M270" s="4" t="n">
        <f aca="false">IFERROR(INDEX(02_Parâmetros!$B$14:$B$17,MATCH(C270,02_Parâmetros!$A$14:$A$17,0)),"")</f>
        <v>10</v>
      </c>
      <c r="N270" s="2" t="str">
        <f aca="false">IF(OR(H270="",M270=""),"",IF(H270&lt;=M270,"Sim","Não"))</f>
        <v>Sim</v>
      </c>
    </row>
    <row r="271" customFormat="false" ht="15" hidden="false" customHeight="false" outlineLevel="0" collapsed="false">
      <c r="A271" s="2" t="s">
        <v>308</v>
      </c>
      <c r="B271" s="3" t="n">
        <v>46280</v>
      </c>
      <c r="C271" s="2" t="s">
        <v>41</v>
      </c>
      <c r="D271" s="2" t="s">
        <v>22</v>
      </c>
      <c r="E271" s="2" t="s">
        <v>23</v>
      </c>
      <c r="F271" s="2" t="s">
        <v>42</v>
      </c>
      <c r="G271" s="2" t="s">
        <v>19</v>
      </c>
      <c r="H271" s="2" t="n">
        <v>438</v>
      </c>
      <c r="I271" s="2" t="n">
        <v>14.4</v>
      </c>
      <c r="J271" s="2" t="s">
        <v>20</v>
      </c>
      <c r="K271" s="2" t="n">
        <v>2</v>
      </c>
      <c r="L271" s="3" t="n">
        <f aca="false">B271-WEEKDAY(B271,2)+1</f>
        <v>46279</v>
      </c>
      <c r="M271" s="4" t="n">
        <f aca="false">IFERROR(INDEX(02_Parâmetros!$B$14:$B$17,MATCH(C271,02_Parâmetros!$A$14:$A$17,0)),"")</f>
        <v>240</v>
      </c>
      <c r="N271" s="2" t="str">
        <f aca="false">IF(OR(H271="",M271=""),"",IF(H271&lt;=M271,"Sim","Não"))</f>
        <v>Não</v>
      </c>
    </row>
    <row r="272" customFormat="false" ht="15" hidden="false" customHeight="false" outlineLevel="0" collapsed="false">
      <c r="A272" s="2" t="s">
        <v>309</v>
      </c>
      <c r="B272" s="3" t="n">
        <v>46280</v>
      </c>
      <c r="C272" s="2" t="s">
        <v>44</v>
      </c>
      <c r="D272" s="2" t="s">
        <v>38</v>
      </c>
      <c r="E272" s="2" t="s">
        <v>56</v>
      </c>
      <c r="F272" s="2" t="s">
        <v>32</v>
      </c>
      <c r="G272" s="2" t="s">
        <v>19</v>
      </c>
      <c r="H272" s="2" t="n">
        <v>3.9</v>
      </c>
      <c r="I272" s="2" t="n">
        <v>8.8</v>
      </c>
      <c r="J272" s="2" t="s">
        <v>25</v>
      </c>
      <c r="K272" s="2" t="n">
        <v>5</v>
      </c>
      <c r="L272" s="3" t="n">
        <f aca="false">B272-WEEKDAY(B272,2)+1</f>
        <v>46279</v>
      </c>
      <c r="M272" s="4" t="n">
        <f aca="false">IFERROR(INDEX(02_Parâmetros!$B$14:$B$17,MATCH(C272,02_Parâmetros!$A$14:$A$17,0)),"")</f>
        <v>2</v>
      </c>
      <c r="N272" s="2" t="str">
        <f aca="false">IF(OR(H272="",M272=""),"",IF(H272&lt;=M272,"Sim","Não"))</f>
        <v>Não</v>
      </c>
    </row>
    <row r="273" customFormat="false" ht="15" hidden="false" customHeight="false" outlineLevel="0" collapsed="false">
      <c r="A273" s="2" t="s">
        <v>310</v>
      </c>
      <c r="B273" s="3" t="n">
        <v>46280</v>
      </c>
      <c r="C273" s="2" t="s">
        <v>27</v>
      </c>
      <c r="D273" s="2" t="s">
        <v>16</v>
      </c>
      <c r="E273" s="2" t="s">
        <v>36</v>
      </c>
      <c r="F273" s="2" t="s">
        <v>42</v>
      </c>
      <c r="G273" s="2" t="s">
        <v>19</v>
      </c>
      <c r="H273" s="2" t="n">
        <v>9.8</v>
      </c>
      <c r="I273" s="2" t="n">
        <v>8.5</v>
      </c>
      <c r="J273" s="2" t="s">
        <v>20</v>
      </c>
      <c r="K273" s="2" t="n">
        <v>5</v>
      </c>
      <c r="L273" s="3" t="n">
        <f aca="false">B273-WEEKDAY(B273,2)+1</f>
        <v>46279</v>
      </c>
      <c r="M273" s="4" t="n">
        <f aca="false">IFERROR(INDEX(02_Parâmetros!$B$14:$B$17,MATCH(C273,02_Parâmetros!$A$14:$A$17,0)),"")</f>
        <v>10</v>
      </c>
      <c r="N273" s="2" t="str">
        <f aca="false">IF(OR(H273="",M273=""),"",IF(H273&lt;=M273,"Sim","Não"))</f>
        <v>Sim</v>
      </c>
    </row>
    <row r="274" customFormat="false" ht="15" hidden="false" customHeight="false" outlineLevel="0" collapsed="false">
      <c r="A274" s="2" t="s">
        <v>311</v>
      </c>
      <c r="B274" s="3" t="n">
        <v>46280</v>
      </c>
      <c r="C274" s="2" t="s">
        <v>27</v>
      </c>
      <c r="D274" s="2" t="s">
        <v>16</v>
      </c>
      <c r="E274" s="2" t="s">
        <v>17</v>
      </c>
      <c r="F274" s="2" t="s">
        <v>42</v>
      </c>
      <c r="G274" s="2" t="s">
        <v>19</v>
      </c>
      <c r="H274" s="2"/>
      <c r="I274" s="2" t="n">
        <v>4.9</v>
      </c>
      <c r="J274" s="2" t="s">
        <v>20</v>
      </c>
      <c r="K274" s="2"/>
      <c r="L274" s="3" t="n">
        <f aca="false">B274-WEEKDAY(B274,2)+1</f>
        <v>46279</v>
      </c>
      <c r="M274" s="4" t="n">
        <f aca="false">IFERROR(INDEX(02_Parâmetros!$B$14:$B$17,MATCH(C274,02_Parâmetros!$A$14:$A$17,0)),"")</f>
        <v>10</v>
      </c>
      <c r="N274" s="2" t="str">
        <f aca="false">IF(OR(H274="",M274=""),"",IF(H274&lt;=M274,"Sim","Não"))</f>
        <v/>
      </c>
    </row>
    <row r="275" customFormat="false" ht="15" hidden="false" customHeight="false" outlineLevel="0" collapsed="false">
      <c r="A275" s="2" t="s">
        <v>312</v>
      </c>
      <c r="B275" s="3" t="n">
        <v>46280</v>
      </c>
      <c r="C275" s="2" t="s">
        <v>15</v>
      </c>
      <c r="D275" s="2" t="s">
        <v>38</v>
      </c>
      <c r="E275" s="2" t="s">
        <v>47</v>
      </c>
      <c r="F275" s="2" t="s">
        <v>34</v>
      </c>
      <c r="G275" s="2" t="s">
        <v>19</v>
      </c>
      <c r="H275" s="2" t="n">
        <v>0.7</v>
      </c>
      <c r="I275" s="2" t="n">
        <v>10.9</v>
      </c>
      <c r="J275" s="2" t="s">
        <v>20</v>
      </c>
      <c r="K275" s="2"/>
      <c r="L275" s="3" t="n">
        <f aca="false">B275-WEEKDAY(B275,2)+1</f>
        <v>46279</v>
      </c>
      <c r="M275" s="4" t="n">
        <f aca="false">IFERROR(INDEX(02_Parâmetros!$B$14:$B$17,MATCH(C275,02_Parâmetros!$A$14:$A$17,0)),"")</f>
        <v>1</v>
      </c>
      <c r="N275" s="2" t="str">
        <f aca="false">IF(OR(H275="",M275=""),"",IF(H275&lt;=M275,"Sim","Não"))</f>
        <v>Sim</v>
      </c>
    </row>
    <row r="276" customFormat="false" ht="15" hidden="false" customHeight="false" outlineLevel="0" collapsed="false">
      <c r="A276" s="2" t="s">
        <v>313</v>
      </c>
      <c r="B276" s="3" t="n">
        <v>46280</v>
      </c>
      <c r="C276" s="2" t="s">
        <v>44</v>
      </c>
      <c r="D276" s="2" t="s">
        <v>16</v>
      </c>
      <c r="E276" s="2" t="s">
        <v>17</v>
      </c>
      <c r="F276" s="2" t="s">
        <v>18</v>
      </c>
      <c r="G276" s="2" t="s">
        <v>19</v>
      </c>
      <c r="H276" s="2" t="n">
        <v>1.1</v>
      </c>
      <c r="I276" s="2" t="n">
        <v>5.1</v>
      </c>
      <c r="J276" s="2" t="s">
        <v>20</v>
      </c>
      <c r="K276" s="2"/>
      <c r="L276" s="3" t="n">
        <f aca="false">B276-WEEKDAY(B276,2)+1</f>
        <v>46279</v>
      </c>
      <c r="M276" s="4" t="n">
        <f aca="false">IFERROR(INDEX(02_Parâmetros!$B$14:$B$17,MATCH(C276,02_Parâmetros!$A$14:$A$17,0)),"")</f>
        <v>2</v>
      </c>
      <c r="N276" s="2" t="str">
        <f aca="false">IF(OR(H276="",M276=""),"",IF(H276&lt;=M276,"Sim","Não"))</f>
        <v>Sim</v>
      </c>
    </row>
    <row r="277" customFormat="false" ht="15" hidden="false" customHeight="false" outlineLevel="0" collapsed="false">
      <c r="A277" s="2" t="s">
        <v>314</v>
      </c>
      <c r="B277" s="3" t="n">
        <v>46280</v>
      </c>
      <c r="C277" s="2" t="s">
        <v>27</v>
      </c>
      <c r="D277" s="2" t="s">
        <v>22</v>
      </c>
      <c r="E277" s="2" t="s">
        <v>28</v>
      </c>
      <c r="F277" s="2" t="s">
        <v>18</v>
      </c>
      <c r="G277" s="2" t="s">
        <v>19</v>
      </c>
      <c r="H277" s="2" t="n">
        <v>9.5</v>
      </c>
      <c r="I277" s="2" t="n">
        <v>9.1</v>
      </c>
      <c r="J277" s="2" t="s">
        <v>25</v>
      </c>
      <c r="K277" s="2"/>
      <c r="L277" s="3" t="n">
        <f aca="false">B277-WEEKDAY(B277,2)+1</f>
        <v>46279</v>
      </c>
      <c r="M277" s="4" t="n">
        <f aca="false">IFERROR(INDEX(02_Parâmetros!$B$14:$B$17,MATCH(C277,02_Parâmetros!$A$14:$A$17,0)),"")</f>
        <v>10</v>
      </c>
      <c r="N277" s="2" t="str">
        <f aca="false">IF(OR(H277="",M277=""),"",IF(H277&lt;=M277,"Sim","Não"))</f>
        <v>Sim</v>
      </c>
    </row>
    <row r="278" customFormat="false" ht="15" hidden="false" customHeight="false" outlineLevel="0" collapsed="false">
      <c r="A278" s="2" t="s">
        <v>315</v>
      </c>
      <c r="B278" s="3" t="n">
        <v>46280</v>
      </c>
      <c r="C278" s="2" t="s">
        <v>41</v>
      </c>
      <c r="D278" s="2" t="s">
        <v>22</v>
      </c>
      <c r="E278" s="2" t="s">
        <v>28</v>
      </c>
      <c r="F278" s="2" t="s">
        <v>18</v>
      </c>
      <c r="G278" s="2" t="s">
        <v>19</v>
      </c>
      <c r="H278" s="2" t="n">
        <v>191.6</v>
      </c>
      <c r="I278" s="2" t="n">
        <v>16</v>
      </c>
      <c r="J278" s="2" t="s">
        <v>20</v>
      </c>
      <c r="K278" s="2" t="n">
        <v>5</v>
      </c>
      <c r="L278" s="3" t="n">
        <f aca="false">B278-WEEKDAY(B278,2)+1</f>
        <v>46279</v>
      </c>
      <c r="M278" s="4" t="n">
        <f aca="false">IFERROR(INDEX(02_Parâmetros!$B$14:$B$17,MATCH(C278,02_Parâmetros!$A$14:$A$17,0)),"")</f>
        <v>240</v>
      </c>
      <c r="N278" s="2" t="str">
        <f aca="false">IF(OR(H278="",M278=""),"",IF(H278&lt;=M278,"Sim","Não"))</f>
        <v>Sim</v>
      </c>
    </row>
    <row r="279" customFormat="false" ht="15" hidden="false" customHeight="false" outlineLevel="0" collapsed="false">
      <c r="A279" s="2" t="s">
        <v>316</v>
      </c>
      <c r="B279" s="3" t="n">
        <v>46280</v>
      </c>
      <c r="C279" s="2" t="s">
        <v>44</v>
      </c>
      <c r="D279" s="2" t="s">
        <v>16</v>
      </c>
      <c r="E279" s="2" t="s">
        <v>31</v>
      </c>
      <c r="F279" s="2" t="s">
        <v>42</v>
      </c>
      <c r="G279" s="2" t="s">
        <v>19</v>
      </c>
      <c r="H279" s="2" t="n">
        <v>1.6</v>
      </c>
      <c r="I279" s="2" t="n">
        <v>9</v>
      </c>
      <c r="J279" s="2" t="s">
        <v>25</v>
      </c>
      <c r="K279" s="2"/>
      <c r="L279" s="3" t="n">
        <f aca="false">B279-WEEKDAY(B279,2)+1</f>
        <v>46279</v>
      </c>
      <c r="M279" s="4" t="n">
        <f aca="false">IFERROR(INDEX(02_Parâmetros!$B$14:$B$17,MATCH(C279,02_Parâmetros!$A$14:$A$17,0)),"")</f>
        <v>2</v>
      </c>
      <c r="N279" s="2" t="str">
        <f aca="false">IF(OR(H279="",M279=""),"",IF(H279&lt;=M279,"Sim","Não"))</f>
        <v>Sim</v>
      </c>
    </row>
    <row r="280" customFormat="false" ht="15" hidden="false" customHeight="false" outlineLevel="0" collapsed="false">
      <c r="A280" s="2" t="s">
        <v>317</v>
      </c>
      <c r="B280" s="3" t="n">
        <v>46280</v>
      </c>
      <c r="C280" s="2" t="s">
        <v>44</v>
      </c>
      <c r="D280" s="2" t="s">
        <v>22</v>
      </c>
      <c r="E280" s="2" t="s">
        <v>23</v>
      </c>
      <c r="F280" s="2" t="s">
        <v>24</v>
      </c>
      <c r="G280" s="2" t="s">
        <v>19</v>
      </c>
      <c r="H280" s="2" t="n">
        <v>1</v>
      </c>
      <c r="I280" s="2" t="n">
        <v>17.7</v>
      </c>
      <c r="J280" s="2" t="s">
        <v>25</v>
      </c>
      <c r="K280" s="2" t="n">
        <v>4</v>
      </c>
      <c r="L280" s="3" t="n">
        <f aca="false">B280-WEEKDAY(B280,2)+1</f>
        <v>46279</v>
      </c>
      <c r="M280" s="4" t="n">
        <f aca="false">IFERROR(INDEX(02_Parâmetros!$B$14:$B$17,MATCH(C280,02_Parâmetros!$A$14:$A$17,0)),"")</f>
        <v>2</v>
      </c>
      <c r="N280" s="2" t="str">
        <f aca="false">IF(OR(H280="",M280=""),"",IF(H280&lt;=M280,"Sim","Não"))</f>
        <v>Sim</v>
      </c>
    </row>
    <row r="281" customFormat="false" ht="15" hidden="false" customHeight="false" outlineLevel="0" collapsed="false">
      <c r="A281" s="2" t="s">
        <v>318</v>
      </c>
      <c r="B281" s="3" t="n">
        <v>46280</v>
      </c>
      <c r="C281" s="2" t="s">
        <v>41</v>
      </c>
      <c r="D281" s="2" t="s">
        <v>38</v>
      </c>
      <c r="E281" s="2" t="s">
        <v>39</v>
      </c>
      <c r="F281" s="2" t="s">
        <v>32</v>
      </c>
      <c r="G281" s="2" t="s">
        <v>19</v>
      </c>
      <c r="H281" s="2" t="n">
        <v>205.2</v>
      </c>
      <c r="I281" s="2" t="n">
        <v>12.5</v>
      </c>
      <c r="J281" s="2" t="s">
        <v>20</v>
      </c>
      <c r="K281" s="2"/>
      <c r="L281" s="3" t="n">
        <f aca="false">B281-WEEKDAY(B281,2)+1</f>
        <v>46279</v>
      </c>
      <c r="M281" s="4" t="n">
        <f aca="false">IFERROR(INDEX(02_Parâmetros!$B$14:$B$17,MATCH(C281,02_Parâmetros!$A$14:$A$17,0)),"")</f>
        <v>240</v>
      </c>
      <c r="N281" s="2" t="str">
        <f aca="false">IF(OR(H281="",M281=""),"",IF(H281&lt;=M281,"Sim","Não"))</f>
        <v>Sim</v>
      </c>
    </row>
    <row r="282" customFormat="false" ht="15" hidden="false" customHeight="false" outlineLevel="0" collapsed="false">
      <c r="A282" s="2" t="s">
        <v>319</v>
      </c>
      <c r="B282" s="3" t="n">
        <v>46280</v>
      </c>
      <c r="C282" s="2" t="s">
        <v>44</v>
      </c>
      <c r="D282" s="2" t="s">
        <v>16</v>
      </c>
      <c r="E282" s="2" t="s">
        <v>31</v>
      </c>
      <c r="F282" s="2" t="s">
        <v>32</v>
      </c>
      <c r="G282" s="2" t="s">
        <v>19</v>
      </c>
      <c r="H282" s="2" t="n">
        <v>1.4</v>
      </c>
      <c r="I282" s="2" t="n">
        <v>7.1</v>
      </c>
      <c r="J282" s="2" t="s">
        <v>20</v>
      </c>
      <c r="K282" s="2"/>
      <c r="L282" s="3" t="n">
        <f aca="false">B282-WEEKDAY(B282,2)+1</f>
        <v>46279</v>
      </c>
      <c r="M282" s="4" t="n">
        <f aca="false">IFERROR(INDEX(02_Parâmetros!$B$14:$B$17,MATCH(C282,02_Parâmetros!$A$14:$A$17,0)),"")</f>
        <v>2</v>
      </c>
      <c r="N282" s="2" t="str">
        <f aca="false">IF(OR(H282="",M282=""),"",IF(H282&lt;=M282,"Sim","Não"))</f>
        <v>Sim</v>
      </c>
    </row>
    <row r="283" customFormat="false" ht="15" hidden="false" customHeight="false" outlineLevel="0" collapsed="false">
      <c r="A283" s="2" t="s">
        <v>320</v>
      </c>
      <c r="B283" s="3" t="n">
        <v>46280</v>
      </c>
      <c r="C283" s="2" t="s">
        <v>41</v>
      </c>
      <c r="D283" s="2" t="s">
        <v>16</v>
      </c>
      <c r="E283" s="2" t="s">
        <v>36</v>
      </c>
      <c r="F283" s="2" t="s">
        <v>32</v>
      </c>
      <c r="G283" s="2" t="s">
        <v>19</v>
      </c>
      <c r="H283" s="2" t="n">
        <v>195</v>
      </c>
      <c r="I283" s="2" t="n">
        <v>7.7</v>
      </c>
      <c r="J283" s="2" t="s">
        <v>20</v>
      </c>
      <c r="K283" s="2"/>
      <c r="L283" s="3" t="n">
        <f aca="false">B283-WEEKDAY(B283,2)+1</f>
        <v>46279</v>
      </c>
      <c r="M283" s="4" t="n">
        <f aca="false">IFERROR(INDEX(02_Parâmetros!$B$14:$B$17,MATCH(C283,02_Parâmetros!$A$14:$A$17,0)),"")</f>
        <v>240</v>
      </c>
      <c r="N283" s="2" t="str">
        <f aca="false">IF(OR(H283="",M283=""),"",IF(H283&lt;=M283,"Sim","Não"))</f>
        <v>Sim</v>
      </c>
    </row>
    <row r="284" customFormat="false" ht="15" hidden="false" customHeight="false" outlineLevel="0" collapsed="false">
      <c r="A284" s="2" t="s">
        <v>321</v>
      </c>
      <c r="B284" s="3" t="n">
        <v>46280</v>
      </c>
      <c r="C284" s="2" t="s">
        <v>44</v>
      </c>
      <c r="D284" s="2" t="s">
        <v>16</v>
      </c>
      <c r="E284" s="2" t="s">
        <v>17</v>
      </c>
      <c r="F284" s="2" t="s">
        <v>70</v>
      </c>
      <c r="G284" s="2" t="s">
        <v>19</v>
      </c>
      <c r="H284" s="2" t="n">
        <v>1.6</v>
      </c>
      <c r="I284" s="2" t="n">
        <v>7</v>
      </c>
      <c r="J284" s="2" t="s">
        <v>25</v>
      </c>
      <c r="K284" s="2" t="n">
        <v>2</v>
      </c>
      <c r="L284" s="3" t="n">
        <f aca="false">B284-WEEKDAY(B284,2)+1</f>
        <v>46279</v>
      </c>
      <c r="M284" s="4" t="n">
        <f aca="false">IFERROR(INDEX(02_Parâmetros!$B$14:$B$17,MATCH(C284,02_Parâmetros!$A$14:$A$17,0)),"")</f>
        <v>2</v>
      </c>
      <c r="N284" s="2" t="str">
        <f aca="false">IF(OR(H284="",M284=""),"",IF(H284&lt;=M284,"Sim","Não"))</f>
        <v>Sim</v>
      </c>
    </row>
    <row r="285" customFormat="false" ht="15" hidden="false" customHeight="false" outlineLevel="0" collapsed="false">
      <c r="A285" s="2" t="s">
        <v>322</v>
      </c>
      <c r="B285" s="3" t="n">
        <v>46280</v>
      </c>
      <c r="C285" s="2" t="s">
        <v>41</v>
      </c>
      <c r="D285" s="2" t="s">
        <v>38</v>
      </c>
      <c r="E285" s="2" t="s">
        <v>39</v>
      </c>
      <c r="F285" s="2" t="s">
        <v>24</v>
      </c>
      <c r="G285" s="2" t="s">
        <v>19</v>
      </c>
      <c r="H285" s="2" t="n">
        <v>85.7</v>
      </c>
      <c r="I285" s="2" t="n">
        <v>18.2</v>
      </c>
      <c r="J285" s="2" t="s">
        <v>25</v>
      </c>
      <c r="K285" s="2" t="n">
        <v>5</v>
      </c>
      <c r="L285" s="3" t="n">
        <f aca="false">B285-WEEKDAY(B285,2)+1</f>
        <v>46279</v>
      </c>
      <c r="M285" s="4" t="n">
        <f aca="false">IFERROR(INDEX(02_Parâmetros!$B$14:$B$17,MATCH(C285,02_Parâmetros!$A$14:$A$17,0)),"")</f>
        <v>240</v>
      </c>
      <c r="N285" s="2" t="str">
        <f aca="false">IF(OR(H285="",M285=""),"",IF(H285&lt;=M285,"Sim","Não"))</f>
        <v>Sim</v>
      </c>
    </row>
    <row r="286" customFormat="false" ht="15" hidden="false" customHeight="false" outlineLevel="0" collapsed="false">
      <c r="A286" s="2" t="s">
        <v>323</v>
      </c>
      <c r="B286" s="3" t="n">
        <v>46280</v>
      </c>
      <c r="C286" s="2" t="s">
        <v>27</v>
      </c>
      <c r="D286" s="2" t="s">
        <v>22</v>
      </c>
      <c r="E286" s="2" t="s">
        <v>28</v>
      </c>
      <c r="F286" s="2" t="s">
        <v>24</v>
      </c>
      <c r="G286" s="2" t="s">
        <v>19</v>
      </c>
      <c r="H286" s="2" t="n">
        <v>6.4</v>
      </c>
      <c r="I286" s="2" t="n">
        <v>9.4</v>
      </c>
      <c r="J286" s="2" t="s">
        <v>20</v>
      </c>
      <c r="K286" s="2" t="n">
        <v>4</v>
      </c>
      <c r="L286" s="3" t="n">
        <f aca="false">B286-WEEKDAY(B286,2)+1</f>
        <v>46279</v>
      </c>
      <c r="M286" s="4" t="n">
        <f aca="false">IFERROR(INDEX(02_Parâmetros!$B$14:$B$17,MATCH(C286,02_Parâmetros!$A$14:$A$17,0)),"")</f>
        <v>10</v>
      </c>
      <c r="N286" s="2" t="str">
        <f aca="false">IF(OR(H286="",M286=""),"",IF(H286&lt;=M286,"Sim","Não"))</f>
        <v>Sim</v>
      </c>
    </row>
    <row r="287" customFormat="false" ht="15" hidden="false" customHeight="false" outlineLevel="0" collapsed="false">
      <c r="A287" s="2" t="s">
        <v>324</v>
      </c>
      <c r="B287" s="3" t="n">
        <v>46281</v>
      </c>
      <c r="C287" s="2" t="s">
        <v>44</v>
      </c>
      <c r="D287" s="2" t="s">
        <v>16</v>
      </c>
      <c r="E287" s="2" t="s">
        <v>17</v>
      </c>
      <c r="F287" s="2" t="s">
        <v>70</v>
      </c>
      <c r="G287" s="2" t="s">
        <v>19</v>
      </c>
      <c r="H287" s="2" t="n">
        <v>1.9</v>
      </c>
      <c r="I287" s="2" t="n">
        <v>6.5</v>
      </c>
      <c r="J287" s="2" t="s">
        <v>20</v>
      </c>
      <c r="K287" s="2"/>
      <c r="L287" s="3" t="n">
        <f aca="false">B287-WEEKDAY(B287,2)+1</f>
        <v>46279</v>
      </c>
      <c r="M287" s="4" t="n">
        <f aca="false">IFERROR(INDEX(02_Parâmetros!$B$14:$B$17,MATCH(C287,02_Parâmetros!$A$14:$A$17,0)),"")</f>
        <v>2</v>
      </c>
      <c r="N287" s="2" t="str">
        <f aca="false">IF(OR(H287="",M287=""),"",IF(H287&lt;=M287,"Sim","Não"))</f>
        <v>Sim</v>
      </c>
    </row>
    <row r="288" customFormat="false" ht="15" hidden="false" customHeight="false" outlineLevel="0" collapsed="false">
      <c r="A288" s="2" t="s">
        <v>325</v>
      </c>
      <c r="B288" s="3" t="n">
        <v>46281</v>
      </c>
      <c r="C288" s="2" t="s">
        <v>27</v>
      </c>
      <c r="D288" s="2" t="s">
        <v>38</v>
      </c>
      <c r="E288" s="2" t="s">
        <v>56</v>
      </c>
      <c r="F288" s="2" t="s">
        <v>24</v>
      </c>
      <c r="G288" s="2" t="s">
        <v>19</v>
      </c>
      <c r="H288" s="2" t="n">
        <v>4.6</v>
      </c>
      <c r="I288" s="2" t="n">
        <v>6.5</v>
      </c>
      <c r="J288" s="2" t="s">
        <v>20</v>
      </c>
      <c r="K288" s="2"/>
      <c r="L288" s="3" t="n">
        <f aca="false">B288-WEEKDAY(B288,2)+1</f>
        <v>46279</v>
      </c>
      <c r="M288" s="4" t="n">
        <f aca="false">IFERROR(INDEX(02_Parâmetros!$B$14:$B$17,MATCH(C288,02_Parâmetros!$A$14:$A$17,0)),"")</f>
        <v>10</v>
      </c>
      <c r="N288" s="2" t="str">
        <f aca="false">IF(OR(H288="",M288=""),"",IF(H288&lt;=M288,"Sim","Não"))</f>
        <v>Sim</v>
      </c>
    </row>
    <row r="289" customFormat="false" ht="15" hidden="false" customHeight="false" outlineLevel="0" collapsed="false">
      <c r="A289" s="2" t="s">
        <v>326</v>
      </c>
      <c r="B289" s="3" t="n">
        <v>46281</v>
      </c>
      <c r="C289" s="2" t="s">
        <v>27</v>
      </c>
      <c r="D289" s="2" t="s">
        <v>38</v>
      </c>
      <c r="E289" s="2" t="s">
        <v>47</v>
      </c>
      <c r="F289" s="2" t="s">
        <v>42</v>
      </c>
      <c r="G289" s="2" t="s">
        <v>19</v>
      </c>
      <c r="H289" s="2" t="n">
        <v>4.3</v>
      </c>
      <c r="I289" s="2" t="n">
        <v>6.8</v>
      </c>
      <c r="J289" s="2" t="s">
        <v>25</v>
      </c>
      <c r="K289" s="2"/>
      <c r="L289" s="3" t="n">
        <f aca="false">B289-WEEKDAY(B289,2)+1</f>
        <v>46279</v>
      </c>
      <c r="M289" s="4" t="n">
        <f aca="false">IFERROR(INDEX(02_Parâmetros!$B$14:$B$17,MATCH(C289,02_Parâmetros!$A$14:$A$17,0)),"")</f>
        <v>10</v>
      </c>
      <c r="N289" s="2" t="str">
        <f aca="false">IF(OR(H289="",M289=""),"",IF(H289&lt;=M289,"Sim","Não"))</f>
        <v>Sim</v>
      </c>
    </row>
    <row r="290" customFormat="false" ht="15" hidden="false" customHeight="false" outlineLevel="0" collapsed="false">
      <c r="A290" s="2" t="s">
        <v>327</v>
      </c>
      <c r="B290" s="3" t="n">
        <v>46281</v>
      </c>
      <c r="C290" s="2" t="s">
        <v>41</v>
      </c>
      <c r="D290" s="2" t="s">
        <v>38</v>
      </c>
      <c r="E290" s="2" t="s">
        <v>56</v>
      </c>
      <c r="F290" s="2" t="s">
        <v>42</v>
      </c>
      <c r="G290" s="2" t="s">
        <v>19</v>
      </c>
      <c r="H290" s="2" t="n">
        <v>427.2</v>
      </c>
      <c r="I290" s="2" t="n">
        <v>7.5</v>
      </c>
      <c r="J290" s="2" t="s">
        <v>20</v>
      </c>
      <c r="K290" s="2"/>
      <c r="L290" s="3" t="n">
        <f aca="false">B290-WEEKDAY(B290,2)+1</f>
        <v>46279</v>
      </c>
      <c r="M290" s="4" t="n">
        <f aca="false">IFERROR(INDEX(02_Parâmetros!$B$14:$B$17,MATCH(C290,02_Parâmetros!$A$14:$A$17,0)),"")</f>
        <v>240</v>
      </c>
      <c r="N290" s="2" t="str">
        <f aca="false">IF(OR(H290="",M290=""),"",IF(H290&lt;=M290,"Sim","Não"))</f>
        <v>Não</v>
      </c>
    </row>
    <row r="291" customFormat="false" ht="15" hidden="false" customHeight="false" outlineLevel="0" collapsed="false">
      <c r="A291" s="2" t="s">
        <v>328</v>
      </c>
      <c r="B291" s="3" t="n">
        <v>46281</v>
      </c>
      <c r="C291" s="2" t="s">
        <v>27</v>
      </c>
      <c r="D291" s="2" t="s">
        <v>16</v>
      </c>
      <c r="E291" s="2" t="s">
        <v>31</v>
      </c>
      <c r="F291" s="2" t="s">
        <v>24</v>
      </c>
      <c r="G291" s="2" t="s">
        <v>19</v>
      </c>
      <c r="H291" s="2" t="n">
        <v>4.8</v>
      </c>
      <c r="I291" s="2" t="n">
        <v>14.5</v>
      </c>
      <c r="J291" s="2" t="s">
        <v>20</v>
      </c>
      <c r="K291" s="2"/>
      <c r="L291" s="3" t="n">
        <f aca="false">B291-WEEKDAY(B291,2)+1</f>
        <v>46279</v>
      </c>
      <c r="M291" s="4" t="n">
        <f aca="false">IFERROR(INDEX(02_Parâmetros!$B$14:$B$17,MATCH(C291,02_Parâmetros!$A$14:$A$17,0)),"")</f>
        <v>10</v>
      </c>
      <c r="N291" s="2" t="str">
        <f aca="false">IF(OR(H291="",M291=""),"",IF(H291&lt;=M291,"Sim","Não"))</f>
        <v>Sim</v>
      </c>
    </row>
    <row r="292" customFormat="false" ht="15" hidden="false" customHeight="false" outlineLevel="0" collapsed="false">
      <c r="A292" s="2" t="s">
        <v>329</v>
      </c>
      <c r="B292" s="3" t="n">
        <v>46281</v>
      </c>
      <c r="C292" s="2" t="s">
        <v>27</v>
      </c>
      <c r="D292" s="2" t="s">
        <v>16</v>
      </c>
      <c r="E292" s="2" t="s">
        <v>17</v>
      </c>
      <c r="F292" s="2" t="s">
        <v>42</v>
      </c>
      <c r="G292" s="2" t="s">
        <v>19</v>
      </c>
      <c r="H292" s="2" t="n">
        <v>4.3</v>
      </c>
      <c r="I292" s="2" t="n">
        <v>7.5</v>
      </c>
      <c r="J292" s="2" t="s">
        <v>20</v>
      </c>
      <c r="K292" s="2"/>
      <c r="L292" s="3" t="n">
        <f aca="false">B292-WEEKDAY(B292,2)+1</f>
        <v>46279</v>
      </c>
      <c r="M292" s="4" t="n">
        <f aca="false">IFERROR(INDEX(02_Parâmetros!$B$14:$B$17,MATCH(C292,02_Parâmetros!$A$14:$A$17,0)),"")</f>
        <v>10</v>
      </c>
      <c r="N292" s="2" t="str">
        <f aca="false">IF(OR(H292="",M292=""),"",IF(H292&lt;=M292,"Sim","Não"))</f>
        <v>Sim</v>
      </c>
    </row>
    <row r="293" customFormat="false" ht="15" hidden="false" customHeight="false" outlineLevel="0" collapsed="false">
      <c r="A293" s="2" t="s">
        <v>330</v>
      </c>
      <c r="B293" s="3" t="n">
        <v>46281</v>
      </c>
      <c r="C293" s="2" t="s">
        <v>27</v>
      </c>
      <c r="D293" s="2" t="s">
        <v>16</v>
      </c>
      <c r="E293" s="2" t="s">
        <v>36</v>
      </c>
      <c r="F293" s="2" t="s">
        <v>24</v>
      </c>
      <c r="G293" s="2" t="s">
        <v>19</v>
      </c>
      <c r="H293" s="2" t="n">
        <v>6.1</v>
      </c>
      <c r="I293" s="2" t="n">
        <v>12</v>
      </c>
      <c r="J293" s="2" t="s">
        <v>20</v>
      </c>
      <c r="K293" s="2"/>
      <c r="L293" s="3" t="n">
        <f aca="false">B293-WEEKDAY(B293,2)+1</f>
        <v>46279</v>
      </c>
      <c r="M293" s="4" t="n">
        <f aca="false">IFERROR(INDEX(02_Parâmetros!$B$14:$B$17,MATCH(C293,02_Parâmetros!$A$14:$A$17,0)),"")</f>
        <v>10</v>
      </c>
      <c r="N293" s="2" t="str">
        <f aca="false">IF(OR(H293="",M293=""),"",IF(H293&lt;=M293,"Sim","Não"))</f>
        <v>Sim</v>
      </c>
    </row>
    <row r="294" customFormat="false" ht="15" hidden="false" customHeight="false" outlineLevel="0" collapsed="false">
      <c r="A294" s="2" t="s">
        <v>331</v>
      </c>
      <c r="B294" s="3" t="n">
        <v>46281</v>
      </c>
      <c r="C294" s="2" t="s">
        <v>27</v>
      </c>
      <c r="D294" s="2" t="s">
        <v>22</v>
      </c>
      <c r="E294" s="2" t="s">
        <v>28</v>
      </c>
      <c r="F294" s="2" t="s">
        <v>18</v>
      </c>
      <c r="G294" s="2" t="s">
        <v>19</v>
      </c>
      <c r="H294" s="2" t="n">
        <v>8.4</v>
      </c>
      <c r="I294" s="2" t="n">
        <v>8.5</v>
      </c>
      <c r="J294" s="2" t="s">
        <v>20</v>
      </c>
      <c r="K294" s="2"/>
      <c r="L294" s="3" t="n">
        <f aca="false">B294-WEEKDAY(B294,2)+1</f>
        <v>46279</v>
      </c>
      <c r="M294" s="4" t="n">
        <f aca="false">IFERROR(INDEX(02_Parâmetros!$B$14:$B$17,MATCH(C294,02_Parâmetros!$A$14:$A$17,0)),"")</f>
        <v>10</v>
      </c>
      <c r="N294" s="2" t="str">
        <f aca="false">IF(OR(H294="",M294=""),"",IF(H294&lt;=M294,"Sim","Não"))</f>
        <v>Sim</v>
      </c>
    </row>
    <row r="295" customFormat="false" ht="15" hidden="false" customHeight="false" outlineLevel="0" collapsed="false">
      <c r="A295" s="2" t="s">
        <v>332</v>
      </c>
      <c r="B295" s="3" t="n">
        <v>46281</v>
      </c>
      <c r="C295" s="2" t="s">
        <v>41</v>
      </c>
      <c r="D295" s="2" t="s">
        <v>22</v>
      </c>
      <c r="E295" s="2" t="s">
        <v>23</v>
      </c>
      <c r="F295" s="2" t="s">
        <v>18</v>
      </c>
      <c r="G295" s="2" t="s">
        <v>78</v>
      </c>
      <c r="H295" s="2" t="n">
        <v>591.3</v>
      </c>
      <c r="I295" s="2" t="n">
        <v>8.5</v>
      </c>
      <c r="J295" s="2"/>
      <c r="K295" s="2" t="n">
        <v>2</v>
      </c>
      <c r="L295" s="3" t="n">
        <f aca="false">B295-WEEKDAY(B295,2)+1</f>
        <v>46279</v>
      </c>
      <c r="M295" s="4" t="n">
        <f aca="false">IFERROR(INDEX(02_Parâmetros!$B$14:$B$17,MATCH(C295,02_Parâmetros!$A$14:$A$17,0)),"")</f>
        <v>240</v>
      </c>
      <c r="N295" s="2" t="str">
        <f aca="false">IF(OR(H295="",M295=""),"",IF(H295&lt;=M295,"Sim","Não"))</f>
        <v>Não</v>
      </c>
    </row>
    <row r="296" customFormat="false" ht="15" hidden="false" customHeight="false" outlineLevel="0" collapsed="false">
      <c r="A296" s="2" t="s">
        <v>333</v>
      </c>
      <c r="B296" s="3" t="n">
        <v>46281</v>
      </c>
      <c r="C296" s="2" t="s">
        <v>41</v>
      </c>
      <c r="D296" s="2" t="s">
        <v>16</v>
      </c>
      <c r="E296" s="2" t="s">
        <v>31</v>
      </c>
      <c r="F296" s="2" t="s">
        <v>18</v>
      </c>
      <c r="G296" s="2" t="s">
        <v>19</v>
      </c>
      <c r="H296" s="2" t="n">
        <v>165.5</v>
      </c>
      <c r="I296" s="2" t="n">
        <v>10.7</v>
      </c>
      <c r="J296" s="2" t="s">
        <v>20</v>
      </c>
      <c r="K296" s="2" t="n">
        <v>5</v>
      </c>
      <c r="L296" s="3" t="n">
        <f aca="false">B296-WEEKDAY(B296,2)+1</f>
        <v>46279</v>
      </c>
      <c r="M296" s="4" t="n">
        <f aca="false">IFERROR(INDEX(02_Parâmetros!$B$14:$B$17,MATCH(C296,02_Parâmetros!$A$14:$A$17,0)),"")</f>
        <v>240</v>
      </c>
      <c r="N296" s="2" t="str">
        <f aca="false">IF(OR(H296="",M296=""),"",IF(H296&lt;=M296,"Sim","Não"))</f>
        <v>Sim</v>
      </c>
    </row>
    <row r="297" customFormat="false" ht="15" hidden="false" customHeight="false" outlineLevel="0" collapsed="false">
      <c r="A297" s="2" t="s">
        <v>334</v>
      </c>
      <c r="B297" s="3" t="n">
        <v>46281</v>
      </c>
      <c r="C297" s="2" t="s">
        <v>44</v>
      </c>
      <c r="D297" s="2" t="s">
        <v>22</v>
      </c>
      <c r="E297" s="2" t="s">
        <v>28</v>
      </c>
      <c r="F297" s="2" t="s">
        <v>32</v>
      </c>
      <c r="G297" s="2" t="s">
        <v>19</v>
      </c>
      <c r="H297" s="2" t="n">
        <v>1.7</v>
      </c>
      <c r="I297" s="2" t="n">
        <v>4.9</v>
      </c>
      <c r="J297" s="2" t="s">
        <v>25</v>
      </c>
      <c r="K297" s="2"/>
      <c r="L297" s="3" t="n">
        <f aca="false">B297-WEEKDAY(B297,2)+1</f>
        <v>46279</v>
      </c>
      <c r="M297" s="4" t="n">
        <f aca="false">IFERROR(INDEX(02_Parâmetros!$B$14:$B$17,MATCH(C297,02_Parâmetros!$A$14:$A$17,0)),"")</f>
        <v>2</v>
      </c>
      <c r="N297" s="2" t="str">
        <f aca="false">IF(OR(H297="",M297=""),"",IF(H297&lt;=M297,"Sim","Não"))</f>
        <v>Sim</v>
      </c>
    </row>
    <row r="298" customFormat="false" ht="15" hidden="false" customHeight="false" outlineLevel="0" collapsed="false">
      <c r="A298" s="2" t="s">
        <v>335</v>
      </c>
      <c r="B298" s="3" t="n">
        <v>46281</v>
      </c>
      <c r="C298" s="2" t="s">
        <v>44</v>
      </c>
      <c r="D298" s="2" t="s">
        <v>16</v>
      </c>
      <c r="E298" s="2" t="s">
        <v>36</v>
      </c>
      <c r="F298" s="2" t="s">
        <v>70</v>
      </c>
      <c r="G298" s="2" t="s">
        <v>19</v>
      </c>
      <c r="H298" s="2" t="n">
        <v>0.8</v>
      </c>
      <c r="I298" s="2" t="n">
        <v>8.3</v>
      </c>
      <c r="J298" s="2" t="s">
        <v>20</v>
      </c>
      <c r="K298" s="2"/>
      <c r="L298" s="3" t="n">
        <f aca="false">B298-WEEKDAY(B298,2)+1</f>
        <v>46279</v>
      </c>
      <c r="M298" s="4" t="n">
        <f aca="false">IFERROR(INDEX(02_Parâmetros!$B$14:$B$17,MATCH(C298,02_Parâmetros!$A$14:$A$17,0)),"")</f>
        <v>2</v>
      </c>
      <c r="N298" s="2" t="str">
        <f aca="false">IF(OR(H298="",M298=""),"",IF(H298&lt;=M298,"Sim","Não"))</f>
        <v>Sim</v>
      </c>
    </row>
    <row r="299" customFormat="false" ht="15" hidden="false" customHeight="false" outlineLevel="0" collapsed="false">
      <c r="A299" s="2" t="s">
        <v>336</v>
      </c>
      <c r="B299" s="3" t="n">
        <v>46281</v>
      </c>
      <c r="C299" s="2" t="s">
        <v>27</v>
      </c>
      <c r="D299" s="2" t="s">
        <v>16</v>
      </c>
      <c r="E299" s="2" t="s">
        <v>31</v>
      </c>
      <c r="F299" s="2" t="s">
        <v>42</v>
      </c>
      <c r="G299" s="2" t="s">
        <v>19</v>
      </c>
      <c r="H299" s="2" t="n">
        <v>6.6</v>
      </c>
      <c r="I299" s="2" t="n">
        <v>5</v>
      </c>
      <c r="J299" s="2" t="s">
        <v>20</v>
      </c>
      <c r="K299" s="2"/>
      <c r="L299" s="3" t="n">
        <f aca="false">B299-WEEKDAY(B299,2)+1</f>
        <v>46279</v>
      </c>
      <c r="M299" s="4" t="n">
        <f aca="false">IFERROR(INDEX(02_Parâmetros!$B$14:$B$17,MATCH(C299,02_Parâmetros!$A$14:$A$17,0)),"")</f>
        <v>10</v>
      </c>
      <c r="N299" s="2" t="str">
        <f aca="false">IF(OR(H299="",M299=""),"",IF(H299&lt;=M299,"Sim","Não"))</f>
        <v>Sim</v>
      </c>
    </row>
    <row r="300" customFormat="false" ht="15" hidden="false" customHeight="false" outlineLevel="0" collapsed="false">
      <c r="A300" s="2" t="s">
        <v>337</v>
      </c>
      <c r="B300" s="3" t="n">
        <v>46281</v>
      </c>
      <c r="C300" s="2" t="s">
        <v>41</v>
      </c>
      <c r="D300" s="2" t="s">
        <v>38</v>
      </c>
      <c r="E300" s="2" t="s">
        <v>56</v>
      </c>
      <c r="F300" s="2" t="s">
        <v>42</v>
      </c>
      <c r="G300" s="2" t="s">
        <v>19</v>
      </c>
      <c r="H300" s="2" t="n">
        <v>182.2</v>
      </c>
      <c r="I300" s="2" t="n">
        <v>12.3</v>
      </c>
      <c r="J300" s="2" t="s">
        <v>20</v>
      </c>
      <c r="K300" s="2" t="n">
        <v>5</v>
      </c>
      <c r="L300" s="3" t="n">
        <f aca="false">B300-WEEKDAY(B300,2)+1</f>
        <v>46279</v>
      </c>
      <c r="M300" s="4" t="n">
        <f aca="false">IFERROR(INDEX(02_Parâmetros!$B$14:$B$17,MATCH(C300,02_Parâmetros!$A$14:$A$17,0)),"")</f>
        <v>240</v>
      </c>
      <c r="N300" s="2" t="str">
        <f aca="false">IF(OR(H300="",M300=""),"",IF(H300&lt;=M300,"Sim","Não"))</f>
        <v>Sim</v>
      </c>
    </row>
    <row r="301" customFormat="false" ht="15" hidden="false" customHeight="false" outlineLevel="0" collapsed="false">
      <c r="A301" s="2" t="s">
        <v>338</v>
      </c>
      <c r="B301" s="3" t="n">
        <v>46281</v>
      </c>
      <c r="C301" s="2" t="s">
        <v>41</v>
      </c>
      <c r="D301" s="2" t="s">
        <v>38</v>
      </c>
      <c r="E301" s="2" t="s">
        <v>39</v>
      </c>
      <c r="F301" s="2" t="s">
        <v>42</v>
      </c>
      <c r="G301" s="2" t="s">
        <v>19</v>
      </c>
      <c r="H301" s="2" t="n">
        <v>157.9</v>
      </c>
      <c r="I301" s="2" t="n">
        <v>9.6</v>
      </c>
      <c r="J301" s="2" t="s">
        <v>20</v>
      </c>
      <c r="K301" s="2"/>
      <c r="L301" s="3" t="n">
        <f aca="false">B301-WEEKDAY(B301,2)+1</f>
        <v>46279</v>
      </c>
      <c r="M301" s="4" t="n">
        <f aca="false">IFERROR(INDEX(02_Parâmetros!$B$14:$B$17,MATCH(C301,02_Parâmetros!$A$14:$A$17,0)),"")</f>
        <v>240</v>
      </c>
      <c r="N301" s="2" t="str">
        <f aca="false">IF(OR(H301="",M301=""),"",IF(H301&lt;=M301,"Sim","Não"))</f>
        <v>Sim</v>
      </c>
    </row>
    <row r="302" customFormat="false" ht="15" hidden="false" customHeight="false" outlineLevel="0" collapsed="false">
      <c r="A302" s="2" t="s">
        <v>339</v>
      </c>
      <c r="B302" s="3" t="n">
        <v>46281</v>
      </c>
      <c r="C302" s="2" t="s">
        <v>44</v>
      </c>
      <c r="D302" s="2" t="s">
        <v>38</v>
      </c>
      <c r="E302" s="2" t="s">
        <v>56</v>
      </c>
      <c r="F302" s="2" t="s">
        <v>34</v>
      </c>
      <c r="G302" s="2" t="s">
        <v>19</v>
      </c>
      <c r="H302" s="2" t="n">
        <v>1.9</v>
      </c>
      <c r="I302" s="2" t="n">
        <v>6.2</v>
      </c>
      <c r="J302" s="2" t="s">
        <v>20</v>
      </c>
      <c r="K302" s="2" t="n">
        <v>3</v>
      </c>
      <c r="L302" s="3" t="n">
        <f aca="false">B302-WEEKDAY(B302,2)+1</f>
        <v>46279</v>
      </c>
      <c r="M302" s="4" t="n">
        <f aca="false">IFERROR(INDEX(02_Parâmetros!$B$14:$B$17,MATCH(C302,02_Parâmetros!$A$14:$A$17,0)),"")</f>
        <v>2</v>
      </c>
      <c r="N302" s="2" t="str">
        <f aca="false">IF(OR(H302="",M302=""),"",IF(H302&lt;=M302,"Sim","Não"))</f>
        <v>Sim</v>
      </c>
    </row>
    <row r="303" customFormat="false" ht="15" hidden="false" customHeight="false" outlineLevel="0" collapsed="false">
      <c r="A303" s="2" t="s">
        <v>340</v>
      </c>
      <c r="B303" s="3" t="n">
        <v>46281</v>
      </c>
      <c r="C303" s="2" t="s">
        <v>27</v>
      </c>
      <c r="D303" s="2" t="s">
        <v>38</v>
      </c>
      <c r="E303" s="2" t="s">
        <v>56</v>
      </c>
      <c r="F303" s="2" t="s">
        <v>18</v>
      </c>
      <c r="G303" s="2" t="s">
        <v>19</v>
      </c>
      <c r="H303" s="2" t="n">
        <v>8.8</v>
      </c>
      <c r="I303" s="2" t="n">
        <v>10.9</v>
      </c>
      <c r="J303" s="2" t="s">
        <v>20</v>
      </c>
      <c r="K303" s="2"/>
      <c r="L303" s="3" t="n">
        <f aca="false">B303-WEEKDAY(B303,2)+1</f>
        <v>46279</v>
      </c>
      <c r="M303" s="4" t="n">
        <f aca="false">IFERROR(INDEX(02_Parâmetros!$B$14:$B$17,MATCH(C303,02_Parâmetros!$A$14:$A$17,0)),"")</f>
        <v>10</v>
      </c>
      <c r="N303" s="2" t="str">
        <f aca="false">IF(OR(H303="",M303=""),"",IF(H303&lt;=M303,"Sim","Não"))</f>
        <v>Sim</v>
      </c>
    </row>
    <row r="304" customFormat="false" ht="15" hidden="false" customHeight="false" outlineLevel="0" collapsed="false">
      <c r="A304" s="2" t="s">
        <v>341</v>
      </c>
      <c r="B304" s="3" t="n">
        <v>46281</v>
      </c>
      <c r="C304" s="2" t="s">
        <v>41</v>
      </c>
      <c r="D304" s="2" t="s">
        <v>16</v>
      </c>
      <c r="E304" s="2" t="s">
        <v>17</v>
      </c>
      <c r="F304" s="2" t="s">
        <v>24</v>
      </c>
      <c r="G304" s="2" t="s">
        <v>19</v>
      </c>
      <c r="H304" s="2" t="n">
        <v>216.5</v>
      </c>
      <c r="I304" s="2" t="n">
        <v>12.3</v>
      </c>
      <c r="J304" s="2" t="s">
        <v>20</v>
      </c>
      <c r="K304" s="2"/>
      <c r="L304" s="3" t="n">
        <f aca="false">B304-WEEKDAY(B304,2)+1</f>
        <v>46279</v>
      </c>
      <c r="M304" s="4" t="n">
        <f aca="false">IFERROR(INDEX(02_Parâmetros!$B$14:$B$17,MATCH(C304,02_Parâmetros!$A$14:$A$17,0)),"")</f>
        <v>240</v>
      </c>
      <c r="N304" s="2" t="str">
        <f aca="false">IF(OR(H304="",M304=""),"",IF(H304&lt;=M304,"Sim","Não"))</f>
        <v>Sim</v>
      </c>
    </row>
    <row r="305" customFormat="false" ht="15" hidden="false" customHeight="false" outlineLevel="0" collapsed="false">
      <c r="A305" s="2" t="s">
        <v>342</v>
      </c>
      <c r="B305" s="3" t="n">
        <v>46281</v>
      </c>
      <c r="C305" s="2" t="s">
        <v>27</v>
      </c>
      <c r="D305" s="2" t="s">
        <v>22</v>
      </c>
      <c r="E305" s="2" t="s">
        <v>23</v>
      </c>
      <c r="F305" s="2" t="s">
        <v>32</v>
      </c>
      <c r="G305" s="2" t="s">
        <v>19</v>
      </c>
      <c r="H305" s="2" t="n">
        <v>2.7</v>
      </c>
      <c r="I305" s="2" t="n">
        <v>5.5</v>
      </c>
      <c r="J305" s="2" t="s">
        <v>20</v>
      </c>
      <c r="K305" s="2"/>
      <c r="L305" s="3" t="n">
        <f aca="false">B305-WEEKDAY(B305,2)+1</f>
        <v>46279</v>
      </c>
      <c r="M305" s="4" t="n">
        <f aca="false">IFERROR(INDEX(02_Parâmetros!$B$14:$B$17,MATCH(C305,02_Parâmetros!$A$14:$A$17,0)),"")</f>
        <v>10</v>
      </c>
      <c r="N305" s="2" t="str">
        <f aca="false">IF(OR(H305="",M305=""),"",IF(H305&lt;=M305,"Sim","Não"))</f>
        <v>Sim</v>
      </c>
    </row>
    <row r="306" customFormat="false" ht="15" hidden="false" customHeight="false" outlineLevel="0" collapsed="false">
      <c r="A306" s="2" t="s">
        <v>343</v>
      </c>
      <c r="B306" s="3" t="n">
        <v>46281</v>
      </c>
      <c r="C306" s="2" t="s">
        <v>27</v>
      </c>
      <c r="D306" s="2" t="s">
        <v>38</v>
      </c>
      <c r="E306" s="2" t="s">
        <v>39</v>
      </c>
      <c r="F306" s="2" t="s">
        <v>24</v>
      </c>
      <c r="G306" s="2" t="s">
        <v>19</v>
      </c>
      <c r="H306" s="2" t="n">
        <v>7.2</v>
      </c>
      <c r="I306" s="2" t="n">
        <v>7.4</v>
      </c>
      <c r="J306" s="2" t="s">
        <v>25</v>
      </c>
      <c r="K306" s="2"/>
      <c r="L306" s="3" t="n">
        <f aca="false">B306-WEEKDAY(B306,2)+1</f>
        <v>46279</v>
      </c>
      <c r="M306" s="4" t="n">
        <f aca="false">IFERROR(INDEX(02_Parâmetros!$B$14:$B$17,MATCH(C306,02_Parâmetros!$A$14:$A$17,0)),"")</f>
        <v>10</v>
      </c>
      <c r="N306" s="2" t="str">
        <f aca="false">IF(OR(H306="",M306=""),"",IF(H306&lt;=M306,"Sim","Não"))</f>
        <v>Sim</v>
      </c>
    </row>
    <row r="307" customFormat="false" ht="15" hidden="false" customHeight="false" outlineLevel="0" collapsed="false">
      <c r="A307" s="2" t="s">
        <v>344</v>
      </c>
      <c r="B307" s="3" t="n">
        <v>46281</v>
      </c>
      <c r="C307" s="2" t="s">
        <v>41</v>
      </c>
      <c r="D307" s="2" t="s">
        <v>22</v>
      </c>
      <c r="E307" s="2" t="s">
        <v>23</v>
      </c>
      <c r="F307" s="2" t="s">
        <v>34</v>
      </c>
      <c r="G307" s="2" t="s">
        <v>19</v>
      </c>
      <c r="H307" s="2" t="n">
        <v>75.1</v>
      </c>
      <c r="I307" s="2" t="n">
        <v>7.4</v>
      </c>
      <c r="J307" s="2" t="s">
        <v>25</v>
      </c>
      <c r="K307" s="2"/>
      <c r="L307" s="3" t="n">
        <f aca="false">B307-WEEKDAY(B307,2)+1</f>
        <v>46279</v>
      </c>
      <c r="M307" s="4" t="n">
        <f aca="false">IFERROR(INDEX(02_Parâmetros!$B$14:$B$17,MATCH(C307,02_Parâmetros!$A$14:$A$17,0)),"")</f>
        <v>240</v>
      </c>
      <c r="N307" s="2" t="str">
        <f aca="false">IF(OR(H307="",M307=""),"",IF(H307&lt;=M307,"Sim","Não"))</f>
        <v>Sim</v>
      </c>
    </row>
    <row r="308" customFormat="false" ht="15" hidden="false" customHeight="false" outlineLevel="0" collapsed="false">
      <c r="A308" s="2" t="s">
        <v>345</v>
      </c>
      <c r="B308" s="3" t="n">
        <v>46281</v>
      </c>
      <c r="C308" s="2" t="s">
        <v>15</v>
      </c>
      <c r="D308" s="2" t="s">
        <v>38</v>
      </c>
      <c r="E308" s="2" t="s">
        <v>56</v>
      </c>
      <c r="F308" s="2" t="s">
        <v>18</v>
      </c>
      <c r="G308" s="2" t="s">
        <v>19</v>
      </c>
      <c r="H308" s="2"/>
      <c r="I308" s="2" t="n">
        <v>7.6</v>
      </c>
      <c r="J308" s="2" t="s">
        <v>25</v>
      </c>
      <c r="K308" s="2"/>
      <c r="L308" s="3" t="n">
        <f aca="false">B308-WEEKDAY(B308,2)+1</f>
        <v>46279</v>
      </c>
      <c r="M308" s="4" t="n">
        <f aca="false">IFERROR(INDEX(02_Parâmetros!$B$14:$B$17,MATCH(C308,02_Parâmetros!$A$14:$A$17,0)),"")</f>
        <v>1</v>
      </c>
      <c r="N308" s="2" t="str">
        <f aca="false">IF(OR(H308="",M308=""),"",IF(H308&lt;=M308,"Sim","Não"))</f>
        <v/>
      </c>
    </row>
    <row r="309" customFormat="false" ht="15" hidden="false" customHeight="false" outlineLevel="0" collapsed="false">
      <c r="A309" s="2" t="s">
        <v>346</v>
      </c>
      <c r="B309" s="3" t="n">
        <v>46281</v>
      </c>
      <c r="C309" s="2" t="s">
        <v>44</v>
      </c>
      <c r="D309" s="2" t="s">
        <v>16</v>
      </c>
      <c r="E309" s="2" t="s">
        <v>17</v>
      </c>
      <c r="F309" s="2" t="s">
        <v>18</v>
      </c>
      <c r="G309" s="2" t="s">
        <v>19</v>
      </c>
      <c r="H309" s="2" t="n">
        <v>0.7</v>
      </c>
      <c r="I309" s="2" t="n">
        <v>11.4</v>
      </c>
      <c r="J309" s="2" t="s">
        <v>20</v>
      </c>
      <c r="K309" s="2" t="n">
        <v>4</v>
      </c>
      <c r="L309" s="3" t="n">
        <f aca="false">B309-WEEKDAY(B309,2)+1</f>
        <v>46279</v>
      </c>
      <c r="M309" s="4" t="n">
        <f aca="false">IFERROR(INDEX(02_Parâmetros!$B$14:$B$17,MATCH(C309,02_Parâmetros!$A$14:$A$17,0)),"")</f>
        <v>2</v>
      </c>
      <c r="N309" s="2" t="str">
        <f aca="false">IF(OR(H309="",M309=""),"",IF(H309&lt;=M309,"Sim","Não"))</f>
        <v>Sim</v>
      </c>
    </row>
    <row r="310" customFormat="false" ht="15" hidden="false" customHeight="false" outlineLevel="0" collapsed="false">
      <c r="A310" s="2" t="s">
        <v>347</v>
      </c>
      <c r="B310" s="3" t="n">
        <v>46281</v>
      </c>
      <c r="C310" s="2" t="s">
        <v>15</v>
      </c>
      <c r="D310" s="2" t="s">
        <v>22</v>
      </c>
      <c r="E310" s="2" t="s">
        <v>23</v>
      </c>
      <c r="F310" s="2" t="s">
        <v>32</v>
      </c>
      <c r="G310" s="2" t="s">
        <v>19</v>
      </c>
      <c r="H310" s="2" t="n">
        <v>0.9</v>
      </c>
      <c r="I310" s="2" t="n">
        <v>11.4</v>
      </c>
      <c r="J310" s="2" t="s">
        <v>20</v>
      </c>
      <c r="K310" s="2"/>
      <c r="L310" s="3" t="n">
        <f aca="false">B310-WEEKDAY(B310,2)+1</f>
        <v>46279</v>
      </c>
      <c r="M310" s="4" t="n">
        <f aca="false">IFERROR(INDEX(02_Parâmetros!$B$14:$B$17,MATCH(C310,02_Parâmetros!$A$14:$A$17,0)),"")</f>
        <v>1</v>
      </c>
      <c r="N310" s="2" t="str">
        <f aca="false">IF(OR(H310="",M310=""),"",IF(H310&lt;=M310,"Sim","Não"))</f>
        <v>Sim</v>
      </c>
    </row>
    <row r="311" customFormat="false" ht="15" hidden="false" customHeight="false" outlineLevel="0" collapsed="false">
      <c r="A311" s="2" t="s">
        <v>348</v>
      </c>
      <c r="B311" s="3" t="n">
        <v>46282</v>
      </c>
      <c r="C311" s="2" t="s">
        <v>27</v>
      </c>
      <c r="D311" s="2" t="s">
        <v>38</v>
      </c>
      <c r="E311" s="2" t="s">
        <v>47</v>
      </c>
      <c r="F311" s="2" t="s">
        <v>34</v>
      </c>
      <c r="G311" s="2" t="s">
        <v>19</v>
      </c>
      <c r="H311" s="2" t="n">
        <v>7.4</v>
      </c>
      <c r="I311" s="2" t="n">
        <v>6.4</v>
      </c>
      <c r="J311" s="2" t="s">
        <v>20</v>
      </c>
      <c r="K311" s="2"/>
      <c r="L311" s="3" t="n">
        <f aca="false">B311-WEEKDAY(B311,2)+1</f>
        <v>46279</v>
      </c>
      <c r="M311" s="4" t="n">
        <f aca="false">IFERROR(INDEX(02_Parâmetros!$B$14:$B$17,MATCH(C311,02_Parâmetros!$A$14:$A$17,0)),"")</f>
        <v>10</v>
      </c>
      <c r="N311" s="2" t="str">
        <f aca="false">IF(OR(H311="",M311=""),"",IF(H311&lt;=M311,"Sim","Não"))</f>
        <v>Sim</v>
      </c>
    </row>
    <row r="312" customFormat="false" ht="15" hidden="false" customHeight="false" outlineLevel="0" collapsed="false">
      <c r="A312" s="2" t="s">
        <v>349</v>
      </c>
      <c r="B312" s="3" t="n">
        <v>46282</v>
      </c>
      <c r="C312" s="2" t="s">
        <v>27</v>
      </c>
      <c r="D312" s="2" t="s">
        <v>38</v>
      </c>
      <c r="E312" s="2" t="s">
        <v>47</v>
      </c>
      <c r="F312" s="2" t="s">
        <v>42</v>
      </c>
      <c r="G312" s="2" t="s">
        <v>19</v>
      </c>
      <c r="H312" s="2" t="n">
        <v>7.9</v>
      </c>
      <c r="I312" s="2" t="n">
        <v>7.1</v>
      </c>
      <c r="J312" s="2" t="s">
        <v>20</v>
      </c>
      <c r="K312" s="2"/>
      <c r="L312" s="3" t="n">
        <f aca="false">B312-WEEKDAY(B312,2)+1</f>
        <v>46279</v>
      </c>
      <c r="M312" s="4" t="n">
        <f aca="false">IFERROR(INDEX(02_Parâmetros!$B$14:$B$17,MATCH(C312,02_Parâmetros!$A$14:$A$17,0)),"")</f>
        <v>10</v>
      </c>
      <c r="N312" s="2" t="str">
        <f aca="false">IF(OR(H312="",M312=""),"",IF(H312&lt;=M312,"Sim","Não"))</f>
        <v>Sim</v>
      </c>
    </row>
    <row r="313" customFormat="false" ht="15" hidden="false" customHeight="false" outlineLevel="0" collapsed="false">
      <c r="A313" s="2" t="s">
        <v>350</v>
      </c>
      <c r="B313" s="3" t="n">
        <v>46282</v>
      </c>
      <c r="C313" s="2" t="s">
        <v>27</v>
      </c>
      <c r="D313" s="2" t="s">
        <v>38</v>
      </c>
      <c r="E313" s="2" t="s">
        <v>47</v>
      </c>
      <c r="F313" s="2" t="s">
        <v>34</v>
      </c>
      <c r="G313" s="2" t="s">
        <v>19</v>
      </c>
      <c r="H313" s="2" t="n">
        <v>14.3</v>
      </c>
      <c r="I313" s="2" t="n">
        <v>6.6</v>
      </c>
      <c r="J313" s="2" t="s">
        <v>20</v>
      </c>
      <c r="K313" s="2"/>
      <c r="L313" s="3" t="n">
        <f aca="false">B313-WEEKDAY(B313,2)+1</f>
        <v>46279</v>
      </c>
      <c r="M313" s="4" t="n">
        <f aca="false">IFERROR(INDEX(02_Parâmetros!$B$14:$B$17,MATCH(C313,02_Parâmetros!$A$14:$A$17,0)),"")</f>
        <v>10</v>
      </c>
      <c r="N313" s="2" t="str">
        <f aca="false">IF(OR(H313="",M313=""),"",IF(H313&lt;=M313,"Sim","Não"))</f>
        <v>Não</v>
      </c>
    </row>
    <row r="314" customFormat="false" ht="15" hidden="false" customHeight="false" outlineLevel="0" collapsed="false">
      <c r="A314" s="2" t="s">
        <v>351</v>
      </c>
      <c r="B314" s="3" t="n">
        <v>46282</v>
      </c>
      <c r="C314" s="2" t="s">
        <v>41</v>
      </c>
      <c r="D314" s="2" t="s">
        <v>16</v>
      </c>
      <c r="E314" s="2" t="s">
        <v>36</v>
      </c>
      <c r="F314" s="2" t="s">
        <v>18</v>
      </c>
      <c r="G314" s="2" t="s">
        <v>19</v>
      </c>
      <c r="H314" s="2" t="n">
        <v>159.4</v>
      </c>
      <c r="I314" s="2" t="n">
        <v>12.9</v>
      </c>
      <c r="J314" s="2" t="s">
        <v>20</v>
      </c>
      <c r="K314" s="2" t="n">
        <v>5</v>
      </c>
      <c r="L314" s="3" t="n">
        <f aca="false">B314-WEEKDAY(B314,2)+1</f>
        <v>46279</v>
      </c>
      <c r="M314" s="4" t="n">
        <f aca="false">IFERROR(INDEX(02_Parâmetros!$B$14:$B$17,MATCH(C314,02_Parâmetros!$A$14:$A$17,0)),"")</f>
        <v>240</v>
      </c>
      <c r="N314" s="2" t="str">
        <f aca="false">IF(OR(H314="",M314=""),"",IF(H314&lt;=M314,"Sim","Não"))</f>
        <v>Sim</v>
      </c>
    </row>
    <row r="315" customFormat="false" ht="15" hidden="false" customHeight="false" outlineLevel="0" collapsed="false">
      <c r="A315" s="2" t="s">
        <v>352</v>
      </c>
      <c r="B315" s="3" t="n">
        <v>46282</v>
      </c>
      <c r="C315" s="2" t="s">
        <v>44</v>
      </c>
      <c r="D315" s="2" t="s">
        <v>38</v>
      </c>
      <c r="E315" s="2" t="s">
        <v>39</v>
      </c>
      <c r="F315" s="2" t="s">
        <v>24</v>
      </c>
      <c r="G315" s="2" t="s">
        <v>19</v>
      </c>
      <c r="H315" s="2" t="n">
        <v>1.1</v>
      </c>
      <c r="I315" s="2" t="n">
        <v>7.2</v>
      </c>
      <c r="J315" s="2" t="s">
        <v>25</v>
      </c>
      <c r="K315" s="2"/>
      <c r="L315" s="3" t="n">
        <f aca="false">B315-WEEKDAY(B315,2)+1</f>
        <v>46279</v>
      </c>
      <c r="M315" s="4" t="n">
        <f aca="false">IFERROR(INDEX(02_Parâmetros!$B$14:$B$17,MATCH(C315,02_Parâmetros!$A$14:$A$17,0)),"")</f>
        <v>2</v>
      </c>
      <c r="N315" s="2" t="str">
        <f aca="false">IF(OR(H315="",M315=""),"",IF(H315&lt;=M315,"Sim","Não"))</f>
        <v>Sim</v>
      </c>
    </row>
    <row r="316" customFormat="false" ht="15" hidden="false" customHeight="false" outlineLevel="0" collapsed="false">
      <c r="A316" s="2" t="s">
        <v>353</v>
      </c>
      <c r="B316" s="3" t="n">
        <v>46282</v>
      </c>
      <c r="C316" s="2" t="s">
        <v>41</v>
      </c>
      <c r="D316" s="2" t="s">
        <v>16</v>
      </c>
      <c r="E316" s="2" t="s">
        <v>36</v>
      </c>
      <c r="F316" s="2" t="s">
        <v>42</v>
      </c>
      <c r="G316" s="2" t="s">
        <v>19</v>
      </c>
      <c r="H316" s="2" t="n">
        <v>71.6</v>
      </c>
      <c r="I316" s="2" t="n">
        <v>12.4</v>
      </c>
      <c r="J316" s="2" t="s">
        <v>25</v>
      </c>
      <c r="K316" s="2" t="n">
        <v>4</v>
      </c>
      <c r="L316" s="3" t="n">
        <f aca="false">B316-WEEKDAY(B316,2)+1</f>
        <v>46279</v>
      </c>
      <c r="M316" s="4" t="n">
        <f aca="false">IFERROR(INDEX(02_Parâmetros!$B$14:$B$17,MATCH(C316,02_Parâmetros!$A$14:$A$17,0)),"")</f>
        <v>240</v>
      </c>
      <c r="N316" s="2" t="str">
        <f aca="false">IF(OR(H316="",M316=""),"",IF(H316&lt;=M316,"Sim","Não"))</f>
        <v>Sim</v>
      </c>
    </row>
    <row r="317" customFormat="false" ht="15" hidden="false" customHeight="false" outlineLevel="0" collapsed="false">
      <c r="A317" s="2" t="s">
        <v>354</v>
      </c>
      <c r="B317" s="3" t="n">
        <v>46282</v>
      </c>
      <c r="C317" s="2" t="s">
        <v>27</v>
      </c>
      <c r="D317" s="2" t="s">
        <v>22</v>
      </c>
      <c r="E317" s="2" t="s">
        <v>23</v>
      </c>
      <c r="F317" s="2" t="s">
        <v>18</v>
      </c>
      <c r="G317" s="2" t="s">
        <v>19</v>
      </c>
      <c r="H317" s="2" t="n">
        <v>5.5</v>
      </c>
      <c r="I317" s="2" t="n">
        <v>7</v>
      </c>
      <c r="J317" s="2" t="s">
        <v>25</v>
      </c>
      <c r="K317" s="2"/>
      <c r="L317" s="3" t="n">
        <f aca="false">B317-WEEKDAY(B317,2)+1</f>
        <v>46279</v>
      </c>
      <c r="M317" s="4" t="n">
        <f aca="false">IFERROR(INDEX(02_Parâmetros!$B$14:$B$17,MATCH(C317,02_Parâmetros!$A$14:$A$17,0)),"")</f>
        <v>10</v>
      </c>
      <c r="N317" s="2" t="str">
        <f aca="false">IF(OR(H317="",M317=""),"",IF(H317&lt;=M317,"Sim","Não"))</f>
        <v>Sim</v>
      </c>
    </row>
    <row r="318" customFormat="false" ht="15" hidden="false" customHeight="false" outlineLevel="0" collapsed="false">
      <c r="A318" s="2" t="s">
        <v>355</v>
      </c>
      <c r="B318" s="3" t="n">
        <v>46282</v>
      </c>
      <c r="C318" s="2" t="s">
        <v>44</v>
      </c>
      <c r="D318" s="2" t="s">
        <v>38</v>
      </c>
      <c r="E318" s="2" t="s">
        <v>39</v>
      </c>
      <c r="F318" s="2" t="s">
        <v>70</v>
      </c>
      <c r="G318" s="2" t="s">
        <v>19</v>
      </c>
      <c r="H318" s="2"/>
      <c r="I318" s="2" t="n">
        <v>8.7</v>
      </c>
      <c r="J318" s="2" t="s">
        <v>20</v>
      </c>
      <c r="K318" s="2"/>
      <c r="L318" s="3" t="n">
        <f aca="false">B318-WEEKDAY(B318,2)+1</f>
        <v>46279</v>
      </c>
      <c r="M318" s="4" t="n">
        <f aca="false">IFERROR(INDEX(02_Parâmetros!$B$14:$B$17,MATCH(C318,02_Parâmetros!$A$14:$A$17,0)),"")</f>
        <v>2</v>
      </c>
      <c r="N318" s="2" t="str">
        <f aca="false">IF(OR(H318="",M318=""),"",IF(H318&lt;=M318,"Sim","Não"))</f>
        <v/>
      </c>
    </row>
    <row r="319" customFormat="false" ht="15" hidden="false" customHeight="false" outlineLevel="0" collapsed="false">
      <c r="A319" s="2" t="s">
        <v>356</v>
      </c>
      <c r="B319" s="3" t="n">
        <v>46282</v>
      </c>
      <c r="C319" s="2" t="s">
        <v>27</v>
      </c>
      <c r="D319" s="2" t="s">
        <v>38</v>
      </c>
      <c r="E319" s="2" t="s">
        <v>56</v>
      </c>
      <c r="F319" s="2" t="s">
        <v>42</v>
      </c>
      <c r="G319" s="2" t="s">
        <v>19</v>
      </c>
      <c r="H319" s="2" t="n">
        <v>4.2</v>
      </c>
      <c r="I319" s="2" t="n">
        <v>7.5</v>
      </c>
      <c r="J319" s="2" t="s">
        <v>20</v>
      </c>
      <c r="K319" s="2"/>
      <c r="L319" s="3" t="n">
        <f aca="false">B319-WEEKDAY(B319,2)+1</f>
        <v>46279</v>
      </c>
      <c r="M319" s="4" t="n">
        <f aca="false">IFERROR(INDEX(02_Parâmetros!$B$14:$B$17,MATCH(C319,02_Parâmetros!$A$14:$A$17,0)),"")</f>
        <v>10</v>
      </c>
      <c r="N319" s="2" t="str">
        <f aca="false">IF(OR(H319="",M319=""),"",IF(H319&lt;=M319,"Sim","Não"))</f>
        <v>Sim</v>
      </c>
    </row>
    <row r="320" customFormat="false" ht="15" hidden="false" customHeight="false" outlineLevel="0" collapsed="false">
      <c r="A320" s="2" t="s">
        <v>357</v>
      </c>
      <c r="B320" s="3" t="n">
        <v>46282</v>
      </c>
      <c r="C320" s="2" t="s">
        <v>27</v>
      </c>
      <c r="D320" s="2" t="s">
        <v>22</v>
      </c>
      <c r="E320" s="2" t="s">
        <v>28</v>
      </c>
      <c r="F320" s="2" t="s">
        <v>42</v>
      </c>
      <c r="G320" s="2" t="s">
        <v>19</v>
      </c>
      <c r="H320" s="2" t="n">
        <v>25.1</v>
      </c>
      <c r="I320" s="2" t="n">
        <v>7.5</v>
      </c>
      <c r="J320" s="2" t="s">
        <v>20</v>
      </c>
      <c r="K320" s="2"/>
      <c r="L320" s="3" t="n">
        <f aca="false">B320-WEEKDAY(B320,2)+1</f>
        <v>46279</v>
      </c>
      <c r="M320" s="4" t="n">
        <f aca="false">IFERROR(INDEX(02_Parâmetros!$B$14:$B$17,MATCH(C320,02_Parâmetros!$A$14:$A$17,0)),"")</f>
        <v>10</v>
      </c>
      <c r="N320" s="2" t="str">
        <f aca="false">IF(OR(H320="",M320=""),"",IF(H320&lt;=M320,"Sim","Não"))</f>
        <v>Não</v>
      </c>
    </row>
    <row r="321" customFormat="false" ht="15" hidden="false" customHeight="false" outlineLevel="0" collapsed="false">
      <c r="A321" s="2" t="s">
        <v>358</v>
      </c>
      <c r="B321" s="3" t="n">
        <v>46282</v>
      </c>
      <c r="C321" s="2" t="s">
        <v>44</v>
      </c>
      <c r="D321" s="2" t="s">
        <v>16</v>
      </c>
      <c r="E321" s="2" t="s">
        <v>31</v>
      </c>
      <c r="F321" s="2" t="s">
        <v>34</v>
      </c>
      <c r="G321" s="2" t="s">
        <v>19</v>
      </c>
      <c r="H321" s="2" t="n">
        <v>1.2</v>
      </c>
      <c r="I321" s="2" t="n">
        <v>9.4</v>
      </c>
      <c r="J321" s="2" t="s">
        <v>25</v>
      </c>
      <c r="K321" s="2" t="n">
        <v>5</v>
      </c>
      <c r="L321" s="3" t="n">
        <f aca="false">B321-WEEKDAY(B321,2)+1</f>
        <v>46279</v>
      </c>
      <c r="M321" s="4" t="n">
        <f aca="false">IFERROR(INDEX(02_Parâmetros!$B$14:$B$17,MATCH(C321,02_Parâmetros!$A$14:$A$17,0)),"")</f>
        <v>2</v>
      </c>
      <c r="N321" s="2" t="str">
        <f aca="false">IF(OR(H321="",M321=""),"",IF(H321&lt;=M321,"Sim","Não"))</f>
        <v>Sim</v>
      </c>
    </row>
    <row r="322" customFormat="false" ht="15" hidden="false" customHeight="false" outlineLevel="0" collapsed="false">
      <c r="A322" s="2" t="s">
        <v>359</v>
      </c>
      <c r="B322" s="3" t="n">
        <v>46282</v>
      </c>
      <c r="C322" s="2" t="s">
        <v>27</v>
      </c>
      <c r="D322" s="2" t="s">
        <v>38</v>
      </c>
      <c r="E322" s="2" t="s">
        <v>39</v>
      </c>
      <c r="F322" s="2" t="s">
        <v>24</v>
      </c>
      <c r="G322" s="2" t="s">
        <v>19</v>
      </c>
      <c r="H322" s="2" t="n">
        <v>3.9</v>
      </c>
      <c r="I322" s="2" t="n">
        <v>10.3</v>
      </c>
      <c r="J322" s="2" t="s">
        <v>20</v>
      </c>
      <c r="K322" s="2" t="n">
        <v>4</v>
      </c>
      <c r="L322" s="3" t="n">
        <f aca="false">B322-WEEKDAY(B322,2)+1</f>
        <v>46279</v>
      </c>
      <c r="M322" s="4" t="n">
        <f aca="false">IFERROR(INDEX(02_Parâmetros!$B$14:$B$17,MATCH(C322,02_Parâmetros!$A$14:$A$17,0)),"")</f>
        <v>10</v>
      </c>
      <c r="N322" s="2" t="str">
        <f aca="false">IF(OR(H322="",M322=""),"",IF(H322&lt;=M322,"Sim","Não"))</f>
        <v>Sim</v>
      </c>
    </row>
    <row r="323" customFormat="false" ht="15" hidden="false" customHeight="false" outlineLevel="0" collapsed="false">
      <c r="A323" s="2" t="s">
        <v>360</v>
      </c>
      <c r="B323" s="3" t="n">
        <v>46282</v>
      </c>
      <c r="C323" s="2" t="s">
        <v>41</v>
      </c>
      <c r="D323" s="2" t="s">
        <v>22</v>
      </c>
      <c r="E323" s="2" t="s">
        <v>28</v>
      </c>
      <c r="F323" s="2" t="s">
        <v>18</v>
      </c>
      <c r="G323" s="2" t="s">
        <v>19</v>
      </c>
      <c r="H323" s="2" t="n">
        <v>185.9</v>
      </c>
      <c r="I323" s="2" t="n">
        <v>9.8</v>
      </c>
      <c r="J323" s="2" t="s">
        <v>25</v>
      </c>
      <c r="K323" s="2"/>
      <c r="L323" s="3" t="n">
        <f aca="false">B323-WEEKDAY(B323,2)+1</f>
        <v>46279</v>
      </c>
      <c r="M323" s="4" t="n">
        <f aca="false">IFERROR(INDEX(02_Parâmetros!$B$14:$B$17,MATCH(C323,02_Parâmetros!$A$14:$A$17,0)),"")</f>
        <v>240</v>
      </c>
      <c r="N323" s="2" t="str">
        <f aca="false">IF(OR(H323="",M323=""),"",IF(H323&lt;=M323,"Sim","Não"))</f>
        <v>Sim</v>
      </c>
    </row>
    <row r="324" customFormat="false" ht="15" hidden="false" customHeight="false" outlineLevel="0" collapsed="false">
      <c r="A324" s="2" t="s">
        <v>361</v>
      </c>
      <c r="B324" s="3" t="n">
        <v>46282</v>
      </c>
      <c r="C324" s="2" t="s">
        <v>41</v>
      </c>
      <c r="D324" s="2" t="s">
        <v>22</v>
      </c>
      <c r="E324" s="2" t="s">
        <v>28</v>
      </c>
      <c r="F324" s="2" t="s">
        <v>32</v>
      </c>
      <c r="G324" s="2" t="s">
        <v>19</v>
      </c>
      <c r="H324" s="2" t="n">
        <v>101.9</v>
      </c>
      <c r="I324" s="2" t="n">
        <v>11.4</v>
      </c>
      <c r="J324" s="2" t="s">
        <v>20</v>
      </c>
      <c r="K324" s="2"/>
      <c r="L324" s="3" t="n">
        <f aca="false">B324-WEEKDAY(B324,2)+1</f>
        <v>46279</v>
      </c>
      <c r="M324" s="4" t="n">
        <f aca="false">IFERROR(INDEX(02_Parâmetros!$B$14:$B$17,MATCH(C324,02_Parâmetros!$A$14:$A$17,0)),"")</f>
        <v>240</v>
      </c>
      <c r="N324" s="2" t="str">
        <f aca="false">IF(OR(H324="",M324=""),"",IF(H324&lt;=M324,"Sim","Não"))</f>
        <v>Sim</v>
      </c>
    </row>
    <row r="325" customFormat="false" ht="15" hidden="false" customHeight="false" outlineLevel="0" collapsed="false">
      <c r="A325" s="2" t="s">
        <v>362</v>
      </c>
      <c r="B325" s="3" t="n">
        <v>46282</v>
      </c>
      <c r="C325" s="2" t="s">
        <v>27</v>
      </c>
      <c r="D325" s="2" t="s">
        <v>16</v>
      </c>
      <c r="E325" s="2" t="s">
        <v>36</v>
      </c>
      <c r="F325" s="2" t="s">
        <v>18</v>
      </c>
      <c r="G325" s="2" t="s">
        <v>19</v>
      </c>
      <c r="H325" s="2" t="n">
        <v>3.6</v>
      </c>
      <c r="I325" s="2" t="n">
        <v>10.7</v>
      </c>
      <c r="J325" s="2" t="s">
        <v>20</v>
      </c>
      <c r="K325" s="2"/>
      <c r="L325" s="3" t="n">
        <f aca="false">B325-WEEKDAY(B325,2)+1</f>
        <v>46279</v>
      </c>
      <c r="M325" s="4" t="n">
        <f aca="false">IFERROR(INDEX(02_Parâmetros!$B$14:$B$17,MATCH(C325,02_Parâmetros!$A$14:$A$17,0)),"")</f>
        <v>10</v>
      </c>
      <c r="N325" s="2" t="str">
        <f aca="false">IF(OR(H325="",M325=""),"",IF(H325&lt;=M325,"Sim","Não"))</f>
        <v>Sim</v>
      </c>
    </row>
    <row r="326" customFormat="false" ht="15" hidden="false" customHeight="false" outlineLevel="0" collapsed="false">
      <c r="A326" s="2" t="s">
        <v>363</v>
      </c>
      <c r="B326" s="3" t="n">
        <v>46282</v>
      </c>
      <c r="C326" s="2" t="s">
        <v>44</v>
      </c>
      <c r="D326" s="2" t="s">
        <v>38</v>
      </c>
      <c r="E326" s="2" t="s">
        <v>56</v>
      </c>
      <c r="F326" s="2" t="s">
        <v>32</v>
      </c>
      <c r="G326" s="2" t="s">
        <v>19</v>
      </c>
      <c r="H326" s="2" t="n">
        <v>1.1</v>
      </c>
      <c r="I326" s="2" t="n">
        <v>4.8</v>
      </c>
      <c r="J326" s="2" t="s">
        <v>20</v>
      </c>
      <c r="K326" s="2"/>
      <c r="L326" s="3" t="n">
        <f aca="false">B326-WEEKDAY(B326,2)+1</f>
        <v>46279</v>
      </c>
      <c r="M326" s="4" t="n">
        <f aca="false">IFERROR(INDEX(02_Parâmetros!$B$14:$B$17,MATCH(C326,02_Parâmetros!$A$14:$A$17,0)),"")</f>
        <v>2</v>
      </c>
      <c r="N326" s="2" t="str">
        <f aca="false">IF(OR(H326="",M326=""),"",IF(H326&lt;=M326,"Sim","Não"))</f>
        <v>Sim</v>
      </c>
    </row>
    <row r="327" customFormat="false" ht="15" hidden="false" customHeight="false" outlineLevel="0" collapsed="false">
      <c r="A327" s="2" t="s">
        <v>364</v>
      </c>
      <c r="B327" s="3" t="n">
        <v>46282</v>
      </c>
      <c r="C327" s="2" t="s">
        <v>44</v>
      </c>
      <c r="D327" s="2" t="s">
        <v>22</v>
      </c>
      <c r="E327" s="2" t="s">
        <v>28</v>
      </c>
      <c r="F327" s="2" t="s">
        <v>24</v>
      </c>
      <c r="G327" s="2" t="s">
        <v>19</v>
      </c>
      <c r="H327" s="2"/>
      <c r="I327" s="2" t="n">
        <v>16</v>
      </c>
      <c r="J327" s="2" t="s">
        <v>20</v>
      </c>
      <c r="K327" s="2"/>
      <c r="L327" s="3" t="n">
        <f aca="false">B327-WEEKDAY(B327,2)+1</f>
        <v>46279</v>
      </c>
      <c r="M327" s="4" t="n">
        <f aca="false">IFERROR(INDEX(02_Parâmetros!$B$14:$B$17,MATCH(C327,02_Parâmetros!$A$14:$A$17,0)),"")</f>
        <v>2</v>
      </c>
      <c r="N327" s="2" t="str">
        <f aca="false">IF(OR(H327="",M327=""),"",IF(H327&lt;=M327,"Sim","Não"))</f>
        <v/>
      </c>
    </row>
    <row r="328" customFormat="false" ht="15" hidden="false" customHeight="false" outlineLevel="0" collapsed="false">
      <c r="A328" s="2" t="s">
        <v>365</v>
      </c>
      <c r="B328" s="3" t="n">
        <v>46282</v>
      </c>
      <c r="C328" s="2" t="s">
        <v>27</v>
      </c>
      <c r="D328" s="2" t="s">
        <v>22</v>
      </c>
      <c r="E328" s="2" t="s">
        <v>23</v>
      </c>
      <c r="F328" s="2" t="s">
        <v>18</v>
      </c>
      <c r="G328" s="2" t="s">
        <v>19</v>
      </c>
      <c r="H328" s="2" t="n">
        <v>3.1</v>
      </c>
      <c r="I328" s="2" t="n">
        <v>10.1</v>
      </c>
      <c r="J328" s="2" t="s">
        <v>25</v>
      </c>
      <c r="K328" s="2"/>
      <c r="L328" s="3" t="n">
        <f aca="false">B328-WEEKDAY(B328,2)+1</f>
        <v>46279</v>
      </c>
      <c r="M328" s="4" t="n">
        <f aca="false">IFERROR(INDEX(02_Parâmetros!$B$14:$B$17,MATCH(C328,02_Parâmetros!$A$14:$A$17,0)),"")</f>
        <v>10</v>
      </c>
      <c r="N328" s="2" t="str">
        <f aca="false">IF(OR(H328="",M328=""),"",IF(H328&lt;=M328,"Sim","Não"))</f>
        <v>Sim</v>
      </c>
    </row>
    <row r="329" customFormat="false" ht="15" hidden="false" customHeight="false" outlineLevel="0" collapsed="false">
      <c r="A329" s="2" t="s">
        <v>366</v>
      </c>
      <c r="B329" s="3" t="n">
        <v>46282</v>
      </c>
      <c r="C329" s="2" t="s">
        <v>27</v>
      </c>
      <c r="D329" s="2" t="s">
        <v>38</v>
      </c>
      <c r="E329" s="2" t="s">
        <v>56</v>
      </c>
      <c r="F329" s="2" t="s">
        <v>24</v>
      </c>
      <c r="G329" s="2" t="s">
        <v>19</v>
      </c>
      <c r="H329" s="2" t="n">
        <v>8.1</v>
      </c>
      <c r="I329" s="2" t="n">
        <v>7.8</v>
      </c>
      <c r="J329" s="2" t="s">
        <v>20</v>
      </c>
      <c r="K329" s="2" t="n">
        <v>4</v>
      </c>
      <c r="L329" s="3" t="n">
        <f aca="false">B329-WEEKDAY(B329,2)+1</f>
        <v>46279</v>
      </c>
      <c r="M329" s="4" t="n">
        <f aca="false">IFERROR(INDEX(02_Parâmetros!$B$14:$B$17,MATCH(C329,02_Parâmetros!$A$14:$A$17,0)),"")</f>
        <v>10</v>
      </c>
      <c r="N329" s="2" t="str">
        <f aca="false">IF(OR(H329="",M329=""),"",IF(H329&lt;=M329,"Sim","Não"))</f>
        <v>Sim</v>
      </c>
    </row>
    <row r="330" customFormat="false" ht="15" hidden="false" customHeight="false" outlineLevel="0" collapsed="false">
      <c r="A330" s="2" t="s">
        <v>367</v>
      </c>
      <c r="B330" s="3" t="n">
        <v>46282</v>
      </c>
      <c r="C330" s="2" t="s">
        <v>27</v>
      </c>
      <c r="D330" s="2" t="s">
        <v>22</v>
      </c>
      <c r="E330" s="2" t="s">
        <v>23</v>
      </c>
      <c r="F330" s="2" t="s">
        <v>70</v>
      </c>
      <c r="G330" s="2" t="s">
        <v>19</v>
      </c>
      <c r="H330" s="2" t="n">
        <v>9.9</v>
      </c>
      <c r="I330" s="2" t="n">
        <v>7.7</v>
      </c>
      <c r="J330" s="2" t="s">
        <v>20</v>
      </c>
      <c r="K330" s="2" t="n">
        <v>4</v>
      </c>
      <c r="L330" s="3" t="n">
        <f aca="false">B330-WEEKDAY(B330,2)+1</f>
        <v>46279</v>
      </c>
      <c r="M330" s="4" t="n">
        <f aca="false">IFERROR(INDEX(02_Parâmetros!$B$14:$B$17,MATCH(C330,02_Parâmetros!$A$14:$A$17,0)),"")</f>
        <v>10</v>
      </c>
      <c r="N330" s="2" t="str">
        <f aca="false">IF(OR(H330="",M330=""),"",IF(H330&lt;=M330,"Sim","Não"))</f>
        <v>Sim</v>
      </c>
    </row>
    <row r="331" customFormat="false" ht="15" hidden="false" customHeight="false" outlineLevel="0" collapsed="false">
      <c r="A331" s="2" t="s">
        <v>368</v>
      </c>
      <c r="B331" s="3" t="n">
        <v>46282</v>
      </c>
      <c r="C331" s="2" t="s">
        <v>27</v>
      </c>
      <c r="D331" s="2" t="s">
        <v>16</v>
      </c>
      <c r="E331" s="2" t="s">
        <v>17</v>
      </c>
      <c r="F331" s="2" t="s">
        <v>24</v>
      </c>
      <c r="G331" s="2" t="s">
        <v>19</v>
      </c>
      <c r="H331" s="2" t="n">
        <v>9.5</v>
      </c>
      <c r="I331" s="2" t="n">
        <v>5.5</v>
      </c>
      <c r="J331" s="2" t="s">
        <v>20</v>
      </c>
      <c r="K331" s="2" t="n">
        <v>4</v>
      </c>
      <c r="L331" s="3" t="n">
        <f aca="false">B331-WEEKDAY(B331,2)+1</f>
        <v>46279</v>
      </c>
      <c r="M331" s="4" t="n">
        <f aca="false">IFERROR(INDEX(02_Parâmetros!$B$14:$B$17,MATCH(C331,02_Parâmetros!$A$14:$A$17,0)),"")</f>
        <v>10</v>
      </c>
      <c r="N331" s="2" t="str">
        <f aca="false">IF(OR(H331="",M331=""),"",IF(H331&lt;=M331,"Sim","Não"))</f>
        <v>Sim</v>
      </c>
    </row>
    <row r="332" customFormat="false" ht="15" hidden="false" customHeight="false" outlineLevel="0" collapsed="false">
      <c r="A332" s="2" t="s">
        <v>369</v>
      </c>
      <c r="B332" s="3" t="n">
        <v>46282</v>
      </c>
      <c r="C332" s="2" t="s">
        <v>44</v>
      </c>
      <c r="D332" s="2" t="s">
        <v>16</v>
      </c>
      <c r="E332" s="2" t="s">
        <v>36</v>
      </c>
      <c r="F332" s="2" t="s">
        <v>42</v>
      </c>
      <c r="G332" s="2" t="s">
        <v>19</v>
      </c>
      <c r="H332" s="2" t="n">
        <v>1.5</v>
      </c>
      <c r="I332" s="2" t="n">
        <v>9.5</v>
      </c>
      <c r="J332" s="2" t="s">
        <v>20</v>
      </c>
      <c r="K332" s="2"/>
      <c r="L332" s="3" t="n">
        <f aca="false">B332-WEEKDAY(B332,2)+1</f>
        <v>46279</v>
      </c>
      <c r="M332" s="4" t="n">
        <f aca="false">IFERROR(INDEX(02_Parâmetros!$B$14:$B$17,MATCH(C332,02_Parâmetros!$A$14:$A$17,0)),"")</f>
        <v>2</v>
      </c>
      <c r="N332" s="2" t="str">
        <f aca="false">IF(OR(H332="",M332=""),"",IF(H332&lt;=M332,"Sim","Não"))</f>
        <v>Sim</v>
      </c>
    </row>
    <row r="333" customFormat="false" ht="15" hidden="false" customHeight="false" outlineLevel="0" collapsed="false">
      <c r="A333" s="2" t="s">
        <v>370</v>
      </c>
      <c r="B333" s="3" t="n">
        <v>46282</v>
      </c>
      <c r="C333" s="2" t="s">
        <v>27</v>
      </c>
      <c r="D333" s="2" t="s">
        <v>38</v>
      </c>
      <c r="E333" s="2" t="s">
        <v>47</v>
      </c>
      <c r="F333" s="2" t="s">
        <v>32</v>
      </c>
      <c r="G333" s="2" t="s">
        <v>19</v>
      </c>
      <c r="H333" s="2" t="n">
        <v>4.2</v>
      </c>
      <c r="I333" s="2" t="n">
        <v>5.7</v>
      </c>
      <c r="J333" s="2" t="s">
        <v>20</v>
      </c>
      <c r="K333" s="2"/>
      <c r="L333" s="3" t="n">
        <f aca="false">B333-WEEKDAY(B333,2)+1</f>
        <v>46279</v>
      </c>
      <c r="M333" s="4" t="n">
        <f aca="false">IFERROR(INDEX(02_Parâmetros!$B$14:$B$17,MATCH(C333,02_Parâmetros!$A$14:$A$17,0)),"")</f>
        <v>10</v>
      </c>
      <c r="N333" s="2" t="str">
        <f aca="false">IF(OR(H333="",M333=""),"",IF(H333&lt;=M333,"Sim","Não"))</f>
        <v>Sim</v>
      </c>
    </row>
    <row r="334" customFormat="false" ht="15" hidden="false" customHeight="false" outlineLevel="0" collapsed="false">
      <c r="A334" s="2" t="s">
        <v>371</v>
      </c>
      <c r="B334" s="3" t="n">
        <v>46282</v>
      </c>
      <c r="C334" s="2" t="s">
        <v>44</v>
      </c>
      <c r="D334" s="2" t="s">
        <v>16</v>
      </c>
      <c r="E334" s="2" t="s">
        <v>17</v>
      </c>
      <c r="F334" s="2" t="s">
        <v>18</v>
      </c>
      <c r="G334" s="2" t="s">
        <v>19</v>
      </c>
      <c r="H334" s="2" t="n">
        <v>1.5</v>
      </c>
      <c r="I334" s="2" t="n">
        <v>7.6</v>
      </c>
      <c r="J334" s="2" t="s">
        <v>25</v>
      </c>
      <c r="K334" s="2"/>
      <c r="L334" s="3" t="n">
        <f aca="false">B334-WEEKDAY(B334,2)+1</f>
        <v>46279</v>
      </c>
      <c r="M334" s="4" t="n">
        <f aca="false">IFERROR(INDEX(02_Parâmetros!$B$14:$B$17,MATCH(C334,02_Parâmetros!$A$14:$A$17,0)),"")</f>
        <v>2</v>
      </c>
      <c r="N334" s="2" t="str">
        <f aca="false">IF(OR(H334="",M334=""),"",IF(H334&lt;=M334,"Sim","Não"))</f>
        <v>Sim</v>
      </c>
    </row>
    <row r="335" customFormat="false" ht="15" hidden="false" customHeight="false" outlineLevel="0" collapsed="false">
      <c r="A335" s="2" t="s">
        <v>372</v>
      </c>
      <c r="B335" s="3" t="n">
        <v>46282</v>
      </c>
      <c r="C335" s="2" t="s">
        <v>27</v>
      </c>
      <c r="D335" s="2" t="s">
        <v>38</v>
      </c>
      <c r="E335" s="2" t="s">
        <v>39</v>
      </c>
      <c r="F335" s="2" t="s">
        <v>42</v>
      </c>
      <c r="G335" s="2" t="s">
        <v>19</v>
      </c>
      <c r="H335" s="2" t="n">
        <v>8.9</v>
      </c>
      <c r="I335" s="2" t="n">
        <v>12</v>
      </c>
      <c r="J335" s="2" t="s">
        <v>25</v>
      </c>
      <c r="K335" s="2"/>
      <c r="L335" s="3" t="n">
        <f aca="false">B335-WEEKDAY(B335,2)+1</f>
        <v>46279</v>
      </c>
      <c r="M335" s="4" t="n">
        <f aca="false">IFERROR(INDEX(02_Parâmetros!$B$14:$B$17,MATCH(C335,02_Parâmetros!$A$14:$A$17,0)),"")</f>
        <v>10</v>
      </c>
      <c r="N335" s="2" t="str">
        <f aca="false">IF(OR(H335="",M335=""),"",IF(H335&lt;=M335,"Sim","Não"))</f>
        <v>Sim</v>
      </c>
    </row>
    <row r="336" customFormat="false" ht="15" hidden="false" customHeight="false" outlineLevel="0" collapsed="false">
      <c r="A336" s="2" t="s">
        <v>373</v>
      </c>
      <c r="B336" s="3" t="n">
        <v>46282</v>
      </c>
      <c r="C336" s="2" t="s">
        <v>27</v>
      </c>
      <c r="D336" s="2" t="s">
        <v>16</v>
      </c>
      <c r="E336" s="2" t="s">
        <v>31</v>
      </c>
      <c r="F336" s="2" t="s">
        <v>18</v>
      </c>
      <c r="G336" s="2" t="s">
        <v>19</v>
      </c>
      <c r="H336" s="2" t="n">
        <v>5.7</v>
      </c>
      <c r="I336" s="2" t="n">
        <v>6.6</v>
      </c>
      <c r="J336" s="2" t="s">
        <v>25</v>
      </c>
      <c r="K336" s="2"/>
      <c r="L336" s="3" t="n">
        <f aca="false">B336-WEEKDAY(B336,2)+1</f>
        <v>46279</v>
      </c>
      <c r="M336" s="4" t="n">
        <f aca="false">IFERROR(INDEX(02_Parâmetros!$B$14:$B$17,MATCH(C336,02_Parâmetros!$A$14:$A$17,0)),"")</f>
        <v>10</v>
      </c>
      <c r="N336" s="2" t="str">
        <f aca="false">IF(OR(H336="",M336=""),"",IF(H336&lt;=M336,"Sim","Não"))</f>
        <v>Sim</v>
      </c>
    </row>
    <row r="337" customFormat="false" ht="15" hidden="false" customHeight="false" outlineLevel="0" collapsed="false">
      <c r="A337" s="2" t="s">
        <v>374</v>
      </c>
      <c r="B337" s="3" t="n">
        <v>46282</v>
      </c>
      <c r="C337" s="2" t="s">
        <v>27</v>
      </c>
      <c r="D337" s="2" t="s">
        <v>16</v>
      </c>
      <c r="E337" s="2" t="s">
        <v>31</v>
      </c>
      <c r="F337" s="2" t="s">
        <v>32</v>
      </c>
      <c r="G337" s="2" t="s">
        <v>19</v>
      </c>
      <c r="H337" s="2" t="n">
        <v>9.8</v>
      </c>
      <c r="I337" s="2" t="n">
        <v>4.7</v>
      </c>
      <c r="J337" s="2" t="s">
        <v>20</v>
      </c>
      <c r="K337" s="2"/>
      <c r="L337" s="3" t="n">
        <f aca="false">B337-WEEKDAY(B337,2)+1</f>
        <v>46279</v>
      </c>
      <c r="M337" s="4" t="n">
        <f aca="false">IFERROR(INDEX(02_Parâmetros!$B$14:$B$17,MATCH(C337,02_Parâmetros!$A$14:$A$17,0)),"")</f>
        <v>10</v>
      </c>
      <c r="N337" s="2" t="str">
        <f aca="false">IF(OR(H337="",M337=""),"",IF(H337&lt;=M337,"Sim","Não"))</f>
        <v>Sim</v>
      </c>
    </row>
    <row r="338" customFormat="false" ht="15" hidden="false" customHeight="false" outlineLevel="0" collapsed="false">
      <c r="A338" s="2" t="s">
        <v>375</v>
      </c>
      <c r="B338" s="3" t="n">
        <v>46282</v>
      </c>
      <c r="C338" s="2" t="s">
        <v>44</v>
      </c>
      <c r="D338" s="2" t="s">
        <v>16</v>
      </c>
      <c r="E338" s="2" t="s">
        <v>17</v>
      </c>
      <c r="F338" s="2" t="s">
        <v>24</v>
      </c>
      <c r="G338" s="2" t="s">
        <v>19</v>
      </c>
      <c r="H338" s="2" t="n">
        <v>0.7</v>
      </c>
      <c r="I338" s="2" t="n">
        <v>14.9</v>
      </c>
      <c r="J338" s="2" t="s">
        <v>20</v>
      </c>
      <c r="K338" s="2" t="n">
        <v>5</v>
      </c>
      <c r="L338" s="3" t="n">
        <f aca="false">B338-WEEKDAY(B338,2)+1</f>
        <v>46279</v>
      </c>
      <c r="M338" s="4" t="n">
        <f aca="false">IFERROR(INDEX(02_Parâmetros!$B$14:$B$17,MATCH(C338,02_Parâmetros!$A$14:$A$17,0)),"")</f>
        <v>2</v>
      </c>
      <c r="N338" s="2" t="str">
        <f aca="false">IF(OR(H338="",M338=""),"",IF(H338&lt;=M338,"Sim","Não"))</f>
        <v>Sim</v>
      </c>
    </row>
    <row r="339" customFormat="false" ht="15" hidden="false" customHeight="false" outlineLevel="0" collapsed="false">
      <c r="A339" s="2" t="s">
        <v>376</v>
      </c>
      <c r="B339" s="3" t="n">
        <v>46282</v>
      </c>
      <c r="C339" s="2" t="s">
        <v>27</v>
      </c>
      <c r="D339" s="2" t="s">
        <v>22</v>
      </c>
      <c r="E339" s="2" t="s">
        <v>28</v>
      </c>
      <c r="F339" s="2" t="s">
        <v>34</v>
      </c>
      <c r="G339" s="2" t="s">
        <v>19</v>
      </c>
      <c r="H339" s="2" t="n">
        <v>2.6</v>
      </c>
      <c r="I339" s="2" t="n">
        <v>4.3</v>
      </c>
      <c r="J339" s="2" t="s">
        <v>20</v>
      </c>
      <c r="K339" s="2" t="n">
        <v>4</v>
      </c>
      <c r="L339" s="3" t="n">
        <f aca="false">B339-WEEKDAY(B339,2)+1</f>
        <v>46279</v>
      </c>
      <c r="M339" s="4" t="n">
        <f aca="false">IFERROR(INDEX(02_Parâmetros!$B$14:$B$17,MATCH(C339,02_Parâmetros!$A$14:$A$17,0)),"")</f>
        <v>10</v>
      </c>
      <c r="N339" s="2" t="str">
        <f aca="false">IF(OR(H339="",M339=""),"",IF(H339&lt;=M339,"Sim","Não"))</f>
        <v>Sim</v>
      </c>
    </row>
    <row r="340" customFormat="false" ht="15" hidden="false" customHeight="false" outlineLevel="0" collapsed="false">
      <c r="A340" s="2" t="s">
        <v>377</v>
      </c>
      <c r="B340" s="3" t="n">
        <v>46282</v>
      </c>
      <c r="C340" s="2" t="s">
        <v>15</v>
      </c>
      <c r="D340" s="2" t="s">
        <v>22</v>
      </c>
      <c r="E340" s="2" t="s">
        <v>23</v>
      </c>
      <c r="F340" s="2" t="s">
        <v>18</v>
      </c>
      <c r="G340" s="2" t="s">
        <v>19</v>
      </c>
      <c r="H340" s="2" t="n">
        <v>0.3</v>
      </c>
      <c r="I340" s="2" t="n">
        <v>22.6</v>
      </c>
      <c r="J340" s="2" t="s">
        <v>20</v>
      </c>
      <c r="K340" s="2"/>
      <c r="L340" s="3" t="n">
        <f aca="false">B340-WEEKDAY(B340,2)+1</f>
        <v>46279</v>
      </c>
      <c r="M340" s="4" t="n">
        <f aca="false">IFERROR(INDEX(02_Parâmetros!$B$14:$B$17,MATCH(C340,02_Parâmetros!$A$14:$A$17,0)),"")</f>
        <v>1</v>
      </c>
      <c r="N340" s="2" t="str">
        <f aca="false">IF(OR(H340="",M340=""),"",IF(H340&lt;=M340,"Sim","Não"))</f>
        <v>Sim</v>
      </c>
    </row>
    <row r="341" customFormat="false" ht="15" hidden="false" customHeight="false" outlineLevel="0" collapsed="false">
      <c r="A341" s="2" t="s">
        <v>378</v>
      </c>
      <c r="B341" s="3" t="n">
        <v>46283</v>
      </c>
      <c r="C341" s="2" t="s">
        <v>27</v>
      </c>
      <c r="D341" s="2" t="s">
        <v>16</v>
      </c>
      <c r="E341" s="2" t="s">
        <v>31</v>
      </c>
      <c r="F341" s="2" t="s">
        <v>42</v>
      </c>
      <c r="G341" s="2" t="s">
        <v>19</v>
      </c>
      <c r="H341" s="2" t="n">
        <v>6.8</v>
      </c>
      <c r="I341" s="2" t="n">
        <v>10.5</v>
      </c>
      <c r="J341" s="2" t="s">
        <v>20</v>
      </c>
      <c r="K341" s="2" t="n">
        <v>2</v>
      </c>
      <c r="L341" s="3" t="n">
        <f aca="false">B341-WEEKDAY(B341,2)+1</f>
        <v>46279</v>
      </c>
      <c r="M341" s="4" t="n">
        <f aca="false">IFERROR(INDEX(02_Parâmetros!$B$14:$B$17,MATCH(C341,02_Parâmetros!$A$14:$A$17,0)),"")</f>
        <v>10</v>
      </c>
      <c r="N341" s="2" t="str">
        <f aca="false">IF(OR(H341="",M341=""),"",IF(H341&lt;=M341,"Sim","Não"))</f>
        <v>Sim</v>
      </c>
    </row>
    <row r="342" customFormat="false" ht="15" hidden="false" customHeight="false" outlineLevel="0" collapsed="false">
      <c r="A342" s="2" t="s">
        <v>379</v>
      </c>
      <c r="B342" s="3" t="n">
        <v>46283</v>
      </c>
      <c r="C342" s="2" t="s">
        <v>27</v>
      </c>
      <c r="D342" s="2" t="s">
        <v>22</v>
      </c>
      <c r="E342" s="2" t="s">
        <v>23</v>
      </c>
      <c r="F342" s="2" t="s">
        <v>32</v>
      </c>
      <c r="G342" s="2" t="s">
        <v>19</v>
      </c>
      <c r="H342" s="2" t="n">
        <v>3.6</v>
      </c>
      <c r="I342" s="2" t="n">
        <v>7.9</v>
      </c>
      <c r="J342" s="2" t="s">
        <v>25</v>
      </c>
      <c r="K342" s="2" t="n">
        <v>5</v>
      </c>
      <c r="L342" s="3" t="n">
        <f aca="false">B342-WEEKDAY(B342,2)+1</f>
        <v>46279</v>
      </c>
      <c r="M342" s="4" t="n">
        <f aca="false">IFERROR(INDEX(02_Parâmetros!$B$14:$B$17,MATCH(C342,02_Parâmetros!$A$14:$A$17,0)),"")</f>
        <v>10</v>
      </c>
      <c r="N342" s="2" t="str">
        <f aca="false">IF(OR(H342="",M342=""),"",IF(H342&lt;=M342,"Sim","Não"))</f>
        <v>Sim</v>
      </c>
    </row>
    <row r="343" customFormat="false" ht="15" hidden="false" customHeight="false" outlineLevel="0" collapsed="false">
      <c r="A343" s="2" t="s">
        <v>380</v>
      </c>
      <c r="B343" s="3" t="n">
        <v>46283</v>
      </c>
      <c r="C343" s="2" t="s">
        <v>41</v>
      </c>
      <c r="D343" s="2" t="s">
        <v>16</v>
      </c>
      <c r="E343" s="2" t="s">
        <v>17</v>
      </c>
      <c r="F343" s="2" t="s">
        <v>32</v>
      </c>
      <c r="G343" s="2" t="s">
        <v>19</v>
      </c>
      <c r="H343" s="2" t="n">
        <v>200.5</v>
      </c>
      <c r="I343" s="2" t="n">
        <v>5</v>
      </c>
      <c r="J343" s="2" t="s">
        <v>20</v>
      </c>
      <c r="K343" s="2"/>
      <c r="L343" s="3" t="n">
        <f aca="false">B343-WEEKDAY(B343,2)+1</f>
        <v>46279</v>
      </c>
      <c r="M343" s="4" t="n">
        <f aca="false">IFERROR(INDEX(02_Parâmetros!$B$14:$B$17,MATCH(C343,02_Parâmetros!$A$14:$A$17,0)),"")</f>
        <v>240</v>
      </c>
      <c r="N343" s="2" t="str">
        <f aca="false">IF(OR(H343="",M343=""),"",IF(H343&lt;=M343,"Sim","Não"))</f>
        <v>Sim</v>
      </c>
    </row>
    <row r="344" customFormat="false" ht="15" hidden="false" customHeight="false" outlineLevel="0" collapsed="false">
      <c r="A344" s="2" t="s">
        <v>381</v>
      </c>
      <c r="B344" s="3" t="n">
        <v>46283</v>
      </c>
      <c r="C344" s="2" t="s">
        <v>41</v>
      </c>
      <c r="D344" s="2" t="s">
        <v>38</v>
      </c>
      <c r="E344" s="2" t="s">
        <v>56</v>
      </c>
      <c r="F344" s="2" t="s">
        <v>34</v>
      </c>
      <c r="G344" s="2" t="s">
        <v>19</v>
      </c>
      <c r="H344" s="2" t="n">
        <v>130.1</v>
      </c>
      <c r="I344" s="2" t="n">
        <v>8</v>
      </c>
      <c r="J344" s="2" t="s">
        <v>20</v>
      </c>
      <c r="K344" s="2"/>
      <c r="L344" s="3" t="n">
        <f aca="false">B344-WEEKDAY(B344,2)+1</f>
        <v>46279</v>
      </c>
      <c r="M344" s="4" t="n">
        <f aca="false">IFERROR(INDEX(02_Parâmetros!$B$14:$B$17,MATCH(C344,02_Parâmetros!$A$14:$A$17,0)),"")</f>
        <v>240</v>
      </c>
      <c r="N344" s="2" t="str">
        <f aca="false">IF(OR(H344="",M344=""),"",IF(H344&lt;=M344,"Sim","Não"))</f>
        <v>Sim</v>
      </c>
    </row>
    <row r="345" customFormat="false" ht="15" hidden="false" customHeight="false" outlineLevel="0" collapsed="false">
      <c r="A345" s="2" t="s">
        <v>382</v>
      </c>
      <c r="B345" s="3" t="n">
        <v>46283</v>
      </c>
      <c r="C345" s="2" t="s">
        <v>27</v>
      </c>
      <c r="D345" s="2" t="s">
        <v>22</v>
      </c>
      <c r="E345" s="2" t="s">
        <v>23</v>
      </c>
      <c r="F345" s="2" t="s">
        <v>18</v>
      </c>
      <c r="G345" s="2" t="s">
        <v>19</v>
      </c>
      <c r="H345" s="2" t="n">
        <v>8.6</v>
      </c>
      <c r="I345" s="2" t="n">
        <v>12.9</v>
      </c>
      <c r="J345" s="2" t="s">
        <v>25</v>
      </c>
      <c r="K345" s="2"/>
      <c r="L345" s="3" t="n">
        <f aca="false">B345-WEEKDAY(B345,2)+1</f>
        <v>46279</v>
      </c>
      <c r="M345" s="4" t="n">
        <f aca="false">IFERROR(INDEX(02_Parâmetros!$B$14:$B$17,MATCH(C345,02_Parâmetros!$A$14:$A$17,0)),"")</f>
        <v>10</v>
      </c>
      <c r="N345" s="2" t="str">
        <f aca="false">IF(OR(H345="",M345=""),"",IF(H345&lt;=M345,"Sim","Não"))</f>
        <v>Sim</v>
      </c>
    </row>
    <row r="346" customFormat="false" ht="15" hidden="false" customHeight="false" outlineLevel="0" collapsed="false">
      <c r="A346" s="2" t="s">
        <v>383</v>
      </c>
      <c r="B346" s="3" t="n">
        <v>46283</v>
      </c>
      <c r="C346" s="2" t="s">
        <v>44</v>
      </c>
      <c r="D346" s="2" t="s">
        <v>22</v>
      </c>
      <c r="E346" s="2" t="s">
        <v>28</v>
      </c>
      <c r="F346" s="2" t="s">
        <v>42</v>
      </c>
      <c r="G346" s="2" t="s">
        <v>19</v>
      </c>
      <c r="H346" s="2" t="n">
        <v>4.6</v>
      </c>
      <c r="I346" s="2" t="n">
        <v>12.2</v>
      </c>
      <c r="J346" s="2" t="s">
        <v>20</v>
      </c>
      <c r="K346" s="2"/>
      <c r="L346" s="3" t="n">
        <f aca="false">B346-WEEKDAY(B346,2)+1</f>
        <v>46279</v>
      </c>
      <c r="M346" s="4" t="n">
        <f aca="false">IFERROR(INDEX(02_Parâmetros!$B$14:$B$17,MATCH(C346,02_Parâmetros!$A$14:$A$17,0)),"")</f>
        <v>2</v>
      </c>
      <c r="N346" s="2" t="str">
        <f aca="false">IF(OR(H346="",M346=""),"",IF(H346&lt;=M346,"Sim","Não"))</f>
        <v>Não</v>
      </c>
    </row>
    <row r="347" customFormat="false" ht="15" hidden="false" customHeight="false" outlineLevel="0" collapsed="false">
      <c r="A347" s="2" t="s">
        <v>384</v>
      </c>
      <c r="B347" s="3" t="n">
        <v>46283</v>
      </c>
      <c r="C347" s="2" t="s">
        <v>27</v>
      </c>
      <c r="D347" s="2" t="s">
        <v>22</v>
      </c>
      <c r="E347" s="2" t="s">
        <v>28</v>
      </c>
      <c r="F347" s="2" t="s">
        <v>42</v>
      </c>
      <c r="G347" s="2" t="s">
        <v>19</v>
      </c>
      <c r="H347" s="2" t="n">
        <v>2.6</v>
      </c>
      <c r="I347" s="2" t="n">
        <v>8.9</v>
      </c>
      <c r="J347" s="2" t="s">
        <v>20</v>
      </c>
      <c r="K347" s="2"/>
      <c r="L347" s="3" t="n">
        <f aca="false">B347-WEEKDAY(B347,2)+1</f>
        <v>46279</v>
      </c>
      <c r="M347" s="4" t="n">
        <f aca="false">IFERROR(INDEX(02_Parâmetros!$B$14:$B$17,MATCH(C347,02_Parâmetros!$A$14:$A$17,0)),"")</f>
        <v>10</v>
      </c>
      <c r="N347" s="2" t="str">
        <f aca="false">IF(OR(H347="",M347=""),"",IF(H347&lt;=M347,"Sim","Não"))</f>
        <v>Sim</v>
      </c>
    </row>
    <row r="348" customFormat="false" ht="15" hidden="false" customHeight="false" outlineLevel="0" collapsed="false">
      <c r="A348" s="2" t="s">
        <v>385</v>
      </c>
      <c r="B348" s="3" t="n">
        <v>46283</v>
      </c>
      <c r="C348" s="2" t="s">
        <v>41</v>
      </c>
      <c r="D348" s="2" t="s">
        <v>22</v>
      </c>
      <c r="E348" s="2" t="s">
        <v>23</v>
      </c>
      <c r="F348" s="2" t="s">
        <v>18</v>
      </c>
      <c r="G348" s="2" t="s">
        <v>19</v>
      </c>
      <c r="H348" s="2" t="n">
        <v>159.9</v>
      </c>
      <c r="I348" s="2" t="n">
        <v>9.6</v>
      </c>
      <c r="J348" s="2" t="s">
        <v>20</v>
      </c>
      <c r="K348" s="2"/>
      <c r="L348" s="3" t="n">
        <f aca="false">B348-WEEKDAY(B348,2)+1</f>
        <v>46279</v>
      </c>
      <c r="M348" s="4" t="n">
        <f aca="false">IFERROR(INDEX(02_Parâmetros!$B$14:$B$17,MATCH(C348,02_Parâmetros!$A$14:$A$17,0)),"")</f>
        <v>240</v>
      </c>
      <c r="N348" s="2" t="str">
        <f aca="false">IF(OR(H348="",M348=""),"",IF(H348&lt;=M348,"Sim","Não"))</f>
        <v>Sim</v>
      </c>
    </row>
    <row r="349" customFormat="false" ht="15" hidden="false" customHeight="false" outlineLevel="0" collapsed="false">
      <c r="A349" s="2" t="s">
        <v>386</v>
      </c>
      <c r="B349" s="3" t="n">
        <v>46283</v>
      </c>
      <c r="C349" s="2" t="s">
        <v>27</v>
      </c>
      <c r="D349" s="2" t="s">
        <v>22</v>
      </c>
      <c r="E349" s="2" t="s">
        <v>28</v>
      </c>
      <c r="F349" s="2" t="s">
        <v>42</v>
      </c>
      <c r="G349" s="2" t="s">
        <v>19</v>
      </c>
      <c r="H349" s="2" t="n">
        <v>3.2</v>
      </c>
      <c r="I349" s="2" t="n">
        <v>8.3</v>
      </c>
      <c r="J349" s="2" t="s">
        <v>20</v>
      </c>
      <c r="K349" s="2"/>
      <c r="L349" s="3" t="n">
        <f aca="false">B349-WEEKDAY(B349,2)+1</f>
        <v>46279</v>
      </c>
      <c r="M349" s="4" t="n">
        <f aca="false">IFERROR(INDEX(02_Parâmetros!$B$14:$B$17,MATCH(C349,02_Parâmetros!$A$14:$A$17,0)),"")</f>
        <v>10</v>
      </c>
      <c r="N349" s="2" t="str">
        <f aca="false">IF(OR(H349="",M349=""),"",IF(H349&lt;=M349,"Sim","Não"))</f>
        <v>Sim</v>
      </c>
    </row>
    <row r="350" customFormat="false" ht="15" hidden="false" customHeight="false" outlineLevel="0" collapsed="false">
      <c r="A350" s="2" t="s">
        <v>387</v>
      </c>
      <c r="B350" s="3" t="n">
        <v>46283</v>
      </c>
      <c r="C350" s="2" t="s">
        <v>41</v>
      </c>
      <c r="D350" s="2" t="s">
        <v>22</v>
      </c>
      <c r="E350" s="2" t="s">
        <v>28</v>
      </c>
      <c r="F350" s="2" t="s">
        <v>18</v>
      </c>
      <c r="G350" s="2" t="s">
        <v>19</v>
      </c>
      <c r="H350" s="2" t="n">
        <v>71</v>
      </c>
      <c r="I350" s="2" t="n">
        <v>15.7</v>
      </c>
      <c r="J350" s="2" t="s">
        <v>20</v>
      </c>
      <c r="K350" s="2" t="n">
        <v>5</v>
      </c>
      <c r="L350" s="3" t="n">
        <f aca="false">B350-WEEKDAY(B350,2)+1</f>
        <v>46279</v>
      </c>
      <c r="M350" s="4" t="n">
        <f aca="false">IFERROR(INDEX(02_Parâmetros!$B$14:$B$17,MATCH(C350,02_Parâmetros!$A$14:$A$17,0)),"")</f>
        <v>240</v>
      </c>
      <c r="N350" s="2" t="str">
        <f aca="false">IF(OR(H350="",M350=""),"",IF(H350&lt;=M350,"Sim","Não"))</f>
        <v>Sim</v>
      </c>
    </row>
    <row r="351" customFormat="false" ht="15" hidden="false" customHeight="false" outlineLevel="0" collapsed="false">
      <c r="A351" s="2" t="s">
        <v>388</v>
      </c>
      <c r="B351" s="3" t="n">
        <v>46283</v>
      </c>
      <c r="C351" s="2" t="s">
        <v>41</v>
      </c>
      <c r="D351" s="2" t="s">
        <v>22</v>
      </c>
      <c r="E351" s="2" t="s">
        <v>28</v>
      </c>
      <c r="F351" s="2" t="s">
        <v>32</v>
      </c>
      <c r="G351" s="2" t="s">
        <v>19</v>
      </c>
      <c r="H351" s="2" t="n">
        <v>101.6</v>
      </c>
      <c r="I351" s="2" t="n">
        <v>6.2</v>
      </c>
      <c r="J351" s="2" t="s">
        <v>25</v>
      </c>
      <c r="K351" s="2"/>
      <c r="L351" s="3" t="n">
        <f aca="false">B351-WEEKDAY(B351,2)+1</f>
        <v>46279</v>
      </c>
      <c r="M351" s="4" t="n">
        <f aca="false">IFERROR(INDEX(02_Parâmetros!$B$14:$B$17,MATCH(C351,02_Parâmetros!$A$14:$A$17,0)),"")</f>
        <v>240</v>
      </c>
      <c r="N351" s="2" t="str">
        <f aca="false">IF(OR(H351="",M351=""),"",IF(H351&lt;=M351,"Sim","Não"))</f>
        <v>Sim</v>
      </c>
    </row>
    <row r="352" customFormat="false" ht="15" hidden="false" customHeight="false" outlineLevel="0" collapsed="false">
      <c r="A352" s="2" t="s">
        <v>389</v>
      </c>
      <c r="B352" s="3" t="n">
        <v>46283</v>
      </c>
      <c r="C352" s="2" t="s">
        <v>41</v>
      </c>
      <c r="D352" s="2" t="s">
        <v>38</v>
      </c>
      <c r="E352" s="2" t="s">
        <v>56</v>
      </c>
      <c r="F352" s="2" t="s">
        <v>34</v>
      </c>
      <c r="G352" s="2" t="s">
        <v>19</v>
      </c>
      <c r="H352" s="2" t="n">
        <v>122.1</v>
      </c>
      <c r="I352" s="2" t="n">
        <v>6.1</v>
      </c>
      <c r="J352" s="2" t="s">
        <v>25</v>
      </c>
      <c r="K352" s="2"/>
      <c r="L352" s="3" t="n">
        <f aca="false">B352-WEEKDAY(B352,2)+1</f>
        <v>46279</v>
      </c>
      <c r="M352" s="4" t="n">
        <f aca="false">IFERROR(INDEX(02_Parâmetros!$B$14:$B$17,MATCH(C352,02_Parâmetros!$A$14:$A$17,0)),"")</f>
        <v>240</v>
      </c>
      <c r="N352" s="2" t="str">
        <f aca="false">IF(OR(H352="",M352=""),"",IF(H352&lt;=M352,"Sim","Não"))</f>
        <v>Sim</v>
      </c>
    </row>
    <row r="353" customFormat="false" ht="15" hidden="false" customHeight="false" outlineLevel="0" collapsed="false">
      <c r="A353" s="2" t="s">
        <v>390</v>
      </c>
      <c r="B353" s="3" t="n">
        <v>46283</v>
      </c>
      <c r="C353" s="2" t="s">
        <v>41</v>
      </c>
      <c r="D353" s="2" t="s">
        <v>16</v>
      </c>
      <c r="E353" s="2" t="s">
        <v>31</v>
      </c>
      <c r="F353" s="2" t="s">
        <v>42</v>
      </c>
      <c r="G353" s="2" t="s">
        <v>19</v>
      </c>
      <c r="H353" s="2"/>
      <c r="I353" s="2" t="n">
        <v>5.7</v>
      </c>
      <c r="J353" s="2" t="s">
        <v>20</v>
      </c>
      <c r="K353" s="2"/>
      <c r="L353" s="3" t="n">
        <f aca="false">B353-WEEKDAY(B353,2)+1</f>
        <v>46279</v>
      </c>
      <c r="M353" s="4" t="n">
        <f aca="false">IFERROR(INDEX(02_Parâmetros!$B$14:$B$17,MATCH(C353,02_Parâmetros!$A$14:$A$17,0)),"")</f>
        <v>240</v>
      </c>
      <c r="N353" s="2" t="str">
        <f aca="false">IF(OR(H353="",M353=""),"",IF(H353&lt;=M353,"Sim","Não"))</f>
        <v/>
      </c>
    </row>
    <row r="354" customFormat="false" ht="15" hidden="false" customHeight="false" outlineLevel="0" collapsed="false">
      <c r="A354" s="2" t="s">
        <v>391</v>
      </c>
      <c r="B354" s="3" t="n">
        <v>46283</v>
      </c>
      <c r="C354" s="2" t="s">
        <v>27</v>
      </c>
      <c r="D354" s="2" t="s">
        <v>22</v>
      </c>
      <c r="E354" s="2" t="s">
        <v>23</v>
      </c>
      <c r="F354" s="2" t="s">
        <v>42</v>
      </c>
      <c r="G354" s="2" t="s">
        <v>19</v>
      </c>
      <c r="H354" s="2" t="n">
        <v>5.7</v>
      </c>
      <c r="I354" s="2" t="n">
        <v>7</v>
      </c>
      <c r="J354" s="2" t="s">
        <v>20</v>
      </c>
      <c r="K354" s="2"/>
      <c r="L354" s="3" t="n">
        <f aca="false">B354-WEEKDAY(B354,2)+1</f>
        <v>46279</v>
      </c>
      <c r="M354" s="4" t="n">
        <f aca="false">IFERROR(INDEX(02_Parâmetros!$B$14:$B$17,MATCH(C354,02_Parâmetros!$A$14:$A$17,0)),"")</f>
        <v>10</v>
      </c>
      <c r="N354" s="2" t="str">
        <f aca="false">IF(OR(H354="",M354=""),"",IF(H354&lt;=M354,"Sim","Não"))</f>
        <v>Sim</v>
      </c>
    </row>
    <row r="355" customFormat="false" ht="15" hidden="false" customHeight="false" outlineLevel="0" collapsed="false">
      <c r="A355" s="2" t="s">
        <v>392</v>
      </c>
      <c r="B355" s="3" t="n">
        <v>46283</v>
      </c>
      <c r="C355" s="2" t="s">
        <v>44</v>
      </c>
      <c r="D355" s="2" t="s">
        <v>16</v>
      </c>
      <c r="E355" s="2" t="s">
        <v>36</v>
      </c>
      <c r="F355" s="2" t="s">
        <v>32</v>
      </c>
      <c r="G355" s="2" t="s">
        <v>19</v>
      </c>
      <c r="H355" s="2" t="n">
        <v>4.1</v>
      </c>
      <c r="I355" s="2" t="n">
        <v>6.1</v>
      </c>
      <c r="J355" s="2" t="s">
        <v>25</v>
      </c>
      <c r="K355" s="2" t="n">
        <v>3</v>
      </c>
      <c r="L355" s="3" t="n">
        <f aca="false">B355-WEEKDAY(B355,2)+1</f>
        <v>46279</v>
      </c>
      <c r="M355" s="4" t="n">
        <f aca="false">IFERROR(INDEX(02_Parâmetros!$B$14:$B$17,MATCH(C355,02_Parâmetros!$A$14:$A$17,0)),"")</f>
        <v>2</v>
      </c>
      <c r="N355" s="2" t="str">
        <f aca="false">IF(OR(H355="",M355=""),"",IF(H355&lt;=M355,"Sim","Não"))</f>
        <v>Não</v>
      </c>
    </row>
    <row r="356" customFormat="false" ht="15" hidden="false" customHeight="false" outlineLevel="0" collapsed="false">
      <c r="A356" s="2" t="s">
        <v>393</v>
      </c>
      <c r="B356" s="3" t="n">
        <v>46283</v>
      </c>
      <c r="C356" s="2" t="s">
        <v>41</v>
      </c>
      <c r="D356" s="2" t="s">
        <v>16</v>
      </c>
      <c r="E356" s="2" t="s">
        <v>17</v>
      </c>
      <c r="F356" s="2" t="s">
        <v>42</v>
      </c>
      <c r="G356" s="2" t="s">
        <v>19</v>
      </c>
      <c r="H356" s="2"/>
      <c r="I356" s="2" t="n">
        <v>7.3</v>
      </c>
      <c r="J356" s="2" t="s">
        <v>20</v>
      </c>
      <c r="K356" s="2"/>
      <c r="L356" s="3" t="n">
        <f aca="false">B356-WEEKDAY(B356,2)+1</f>
        <v>46279</v>
      </c>
      <c r="M356" s="4" t="n">
        <f aca="false">IFERROR(INDEX(02_Parâmetros!$B$14:$B$17,MATCH(C356,02_Parâmetros!$A$14:$A$17,0)),"")</f>
        <v>240</v>
      </c>
      <c r="N356" s="2" t="str">
        <f aca="false">IF(OR(H356="",M356=""),"",IF(H356&lt;=M356,"Sim","Não"))</f>
        <v/>
      </c>
    </row>
    <row r="357" customFormat="false" ht="15" hidden="false" customHeight="false" outlineLevel="0" collapsed="false">
      <c r="A357" s="2" t="s">
        <v>394</v>
      </c>
      <c r="B357" s="3" t="n">
        <v>46283</v>
      </c>
      <c r="C357" s="2" t="s">
        <v>41</v>
      </c>
      <c r="D357" s="2" t="s">
        <v>16</v>
      </c>
      <c r="E357" s="2" t="s">
        <v>31</v>
      </c>
      <c r="F357" s="2" t="s">
        <v>34</v>
      </c>
      <c r="G357" s="2" t="s">
        <v>19</v>
      </c>
      <c r="H357" s="2" t="n">
        <v>118.4</v>
      </c>
      <c r="I357" s="2" t="n">
        <v>9.4</v>
      </c>
      <c r="J357" s="2" t="s">
        <v>20</v>
      </c>
      <c r="K357" s="2"/>
      <c r="L357" s="3" t="n">
        <f aca="false">B357-WEEKDAY(B357,2)+1</f>
        <v>46279</v>
      </c>
      <c r="M357" s="4" t="n">
        <f aca="false">IFERROR(INDEX(02_Parâmetros!$B$14:$B$17,MATCH(C357,02_Parâmetros!$A$14:$A$17,0)),"")</f>
        <v>240</v>
      </c>
      <c r="N357" s="2" t="str">
        <f aca="false">IF(OR(H357="",M357=""),"",IF(H357&lt;=M357,"Sim","Não"))</f>
        <v>Sim</v>
      </c>
    </row>
    <row r="358" customFormat="false" ht="15" hidden="false" customHeight="false" outlineLevel="0" collapsed="false">
      <c r="A358" s="2" t="s">
        <v>395</v>
      </c>
      <c r="B358" s="3" t="n">
        <v>46283</v>
      </c>
      <c r="C358" s="2" t="s">
        <v>27</v>
      </c>
      <c r="D358" s="2" t="s">
        <v>22</v>
      </c>
      <c r="E358" s="2" t="s">
        <v>23</v>
      </c>
      <c r="F358" s="2" t="s">
        <v>24</v>
      </c>
      <c r="G358" s="2" t="s">
        <v>19</v>
      </c>
      <c r="H358" s="2" t="n">
        <v>7.6</v>
      </c>
      <c r="I358" s="2" t="n">
        <v>8.3</v>
      </c>
      <c r="J358" s="2" t="s">
        <v>25</v>
      </c>
      <c r="K358" s="2" t="n">
        <v>1</v>
      </c>
      <c r="L358" s="3" t="n">
        <f aca="false">B358-WEEKDAY(B358,2)+1</f>
        <v>46279</v>
      </c>
      <c r="M358" s="4" t="n">
        <f aca="false">IFERROR(INDEX(02_Parâmetros!$B$14:$B$17,MATCH(C358,02_Parâmetros!$A$14:$A$17,0)),"")</f>
        <v>10</v>
      </c>
      <c r="N358" s="2" t="str">
        <f aca="false">IF(OR(H358="",M358=""),"",IF(H358&lt;=M358,"Sim","Não"))</f>
        <v>Sim</v>
      </c>
    </row>
    <row r="359" customFormat="false" ht="15" hidden="false" customHeight="false" outlineLevel="0" collapsed="false">
      <c r="A359" s="2" t="s">
        <v>396</v>
      </c>
      <c r="B359" s="3" t="n">
        <v>46283</v>
      </c>
      <c r="C359" s="2" t="s">
        <v>41</v>
      </c>
      <c r="D359" s="2" t="s">
        <v>38</v>
      </c>
      <c r="E359" s="2" t="s">
        <v>39</v>
      </c>
      <c r="F359" s="2" t="s">
        <v>32</v>
      </c>
      <c r="G359" s="2" t="s">
        <v>19</v>
      </c>
      <c r="H359" s="2" t="n">
        <v>154.3</v>
      </c>
      <c r="I359" s="2" t="n">
        <v>5.8</v>
      </c>
      <c r="J359" s="2" t="s">
        <v>20</v>
      </c>
      <c r="K359" s="2" t="n">
        <v>5</v>
      </c>
      <c r="L359" s="3" t="n">
        <f aca="false">B359-WEEKDAY(B359,2)+1</f>
        <v>46279</v>
      </c>
      <c r="M359" s="4" t="n">
        <f aca="false">IFERROR(INDEX(02_Parâmetros!$B$14:$B$17,MATCH(C359,02_Parâmetros!$A$14:$A$17,0)),"")</f>
        <v>240</v>
      </c>
      <c r="N359" s="2" t="str">
        <f aca="false">IF(OR(H359="",M359=""),"",IF(H359&lt;=M359,"Sim","Não"))</f>
        <v>Sim</v>
      </c>
    </row>
    <row r="360" customFormat="false" ht="15" hidden="false" customHeight="false" outlineLevel="0" collapsed="false">
      <c r="A360" s="2" t="s">
        <v>397</v>
      </c>
      <c r="B360" s="3" t="n">
        <v>46283</v>
      </c>
      <c r="C360" s="2" t="s">
        <v>27</v>
      </c>
      <c r="D360" s="2" t="s">
        <v>22</v>
      </c>
      <c r="E360" s="2" t="s">
        <v>23</v>
      </c>
      <c r="F360" s="2" t="s">
        <v>18</v>
      </c>
      <c r="G360" s="2" t="s">
        <v>19</v>
      </c>
      <c r="H360" s="2" t="n">
        <v>6.9</v>
      </c>
      <c r="I360" s="2" t="n">
        <v>9.6</v>
      </c>
      <c r="J360" s="2" t="s">
        <v>25</v>
      </c>
      <c r="K360" s="2" t="n">
        <v>5</v>
      </c>
      <c r="L360" s="3" t="n">
        <f aca="false">B360-WEEKDAY(B360,2)+1</f>
        <v>46279</v>
      </c>
      <c r="M360" s="4" t="n">
        <f aca="false">IFERROR(INDEX(02_Parâmetros!$B$14:$B$17,MATCH(C360,02_Parâmetros!$A$14:$A$17,0)),"")</f>
        <v>10</v>
      </c>
      <c r="N360" s="2" t="str">
        <f aca="false">IF(OR(H360="",M360=""),"",IF(H360&lt;=M360,"Sim","Não"))</f>
        <v>Sim</v>
      </c>
    </row>
    <row r="361" customFormat="false" ht="15" hidden="false" customHeight="false" outlineLevel="0" collapsed="false">
      <c r="A361" s="2" t="s">
        <v>398</v>
      </c>
      <c r="B361" s="3" t="n">
        <v>46283</v>
      </c>
      <c r="C361" s="2" t="s">
        <v>27</v>
      </c>
      <c r="D361" s="2" t="s">
        <v>22</v>
      </c>
      <c r="E361" s="2" t="s">
        <v>23</v>
      </c>
      <c r="F361" s="2" t="s">
        <v>24</v>
      </c>
      <c r="G361" s="2" t="s">
        <v>19</v>
      </c>
      <c r="H361" s="2" t="n">
        <v>16.7</v>
      </c>
      <c r="I361" s="2" t="n">
        <v>18</v>
      </c>
      <c r="J361" s="2" t="s">
        <v>20</v>
      </c>
      <c r="K361" s="2"/>
      <c r="L361" s="3" t="n">
        <f aca="false">B361-WEEKDAY(B361,2)+1</f>
        <v>46279</v>
      </c>
      <c r="M361" s="4" t="n">
        <f aca="false">IFERROR(INDEX(02_Parâmetros!$B$14:$B$17,MATCH(C361,02_Parâmetros!$A$14:$A$17,0)),"")</f>
        <v>10</v>
      </c>
      <c r="N361" s="2" t="str">
        <f aca="false">IF(OR(H361="",M361=""),"",IF(H361&lt;=M361,"Sim","Não"))</f>
        <v>Não</v>
      </c>
    </row>
    <row r="362" customFormat="false" ht="15" hidden="false" customHeight="false" outlineLevel="0" collapsed="false">
      <c r="A362" s="2" t="s">
        <v>399</v>
      </c>
      <c r="B362" s="3" t="n">
        <v>46283</v>
      </c>
      <c r="C362" s="2" t="s">
        <v>41</v>
      </c>
      <c r="D362" s="2" t="s">
        <v>38</v>
      </c>
      <c r="E362" s="2" t="s">
        <v>47</v>
      </c>
      <c r="F362" s="2" t="s">
        <v>18</v>
      </c>
      <c r="G362" s="2" t="s">
        <v>19</v>
      </c>
      <c r="H362" s="2" t="n">
        <v>71.5</v>
      </c>
      <c r="I362" s="2" t="n">
        <v>13.9</v>
      </c>
      <c r="J362" s="2" t="s">
        <v>20</v>
      </c>
      <c r="K362" s="2"/>
      <c r="L362" s="3" t="n">
        <f aca="false">B362-WEEKDAY(B362,2)+1</f>
        <v>46279</v>
      </c>
      <c r="M362" s="4" t="n">
        <f aca="false">IFERROR(INDEX(02_Parâmetros!$B$14:$B$17,MATCH(C362,02_Parâmetros!$A$14:$A$17,0)),"")</f>
        <v>240</v>
      </c>
      <c r="N362" s="2" t="str">
        <f aca="false">IF(OR(H362="",M362=""),"",IF(H362&lt;=M362,"Sim","Não"))</f>
        <v>Sim</v>
      </c>
    </row>
    <row r="363" customFormat="false" ht="15" hidden="false" customHeight="false" outlineLevel="0" collapsed="false">
      <c r="A363" s="2" t="s">
        <v>400</v>
      </c>
      <c r="B363" s="3" t="n">
        <v>46283</v>
      </c>
      <c r="C363" s="2" t="s">
        <v>15</v>
      </c>
      <c r="D363" s="2" t="s">
        <v>22</v>
      </c>
      <c r="E363" s="2" t="s">
        <v>28</v>
      </c>
      <c r="F363" s="2" t="s">
        <v>24</v>
      </c>
      <c r="G363" s="2" t="s">
        <v>19</v>
      </c>
      <c r="H363" s="2" t="n">
        <v>0.7</v>
      </c>
      <c r="I363" s="2" t="n">
        <v>17.7</v>
      </c>
      <c r="J363" s="2" t="s">
        <v>25</v>
      </c>
      <c r="K363" s="2"/>
      <c r="L363" s="3" t="n">
        <f aca="false">B363-WEEKDAY(B363,2)+1</f>
        <v>46279</v>
      </c>
      <c r="M363" s="4" t="n">
        <f aca="false">IFERROR(INDEX(02_Parâmetros!$B$14:$B$17,MATCH(C363,02_Parâmetros!$A$14:$A$17,0)),"")</f>
        <v>1</v>
      </c>
      <c r="N363" s="2" t="str">
        <f aca="false">IF(OR(H363="",M363=""),"",IF(H363&lt;=M363,"Sim","Não"))</f>
        <v>Sim</v>
      </c>
    </row>
    <row r="364" customFormat="false" ht="15" hidden="false" customHeight="false" outlineLevel="0" collapsed="false">
      <c r="A364" s="2" t="s">
        <v>401</v>
      </c>
      <c r="B364" s="3" t="n">
        <v>46283</v>
      </c>
      <c r="C364" s="2" t="s">
        <v>41</v>
      </c>
      <c r="D364" s="2" t="s">
        <v>38</v>
      </c>
      <c r="E364" s="2" t="s">
        <v>47</v>
      </c>
      <c r="F364" s="2" t="s">
        <v>32</v>
      </c>
      <c r="G364" s="2" t="s">
        <v>19</v>
      </c>
      <c r="H364" s="2" t="n">
        <v>171.7</v>
      </c>
      <c r="I364" s="2" t="n">
        <v>9.3</v>
      </c>
      <c r="J364" s="2" t="s">
        <v>20</v>
      </c>
      <c r="K364" s="2"/>
      <c r="L364" s="3" t="n">
        <f aca="false">B364-WEEKDAY(B364,2)+1</f>
        <v>46279</v>
      </c>
      <c r="M364" s="4" t="n">
        <f aca="false">IFERROR(INDEX(02_Parâmetros!$B$14:$B$17,MATCH(C364,02_Parâmetros!$A$14:$A$17,0)),"")</f>
        <v>240</v>
      </c>
      <c r="N364" s="2" t="str">
        <f aca="false">IF(OR(H364="",M364=""),"",IF(H364&lt;=M364,"Sim","Não"))</f>
        <v>Sim</v>
      </c>
    </row>
    <row r="365" customFormat="false" ht="15" hidden="false" customHeight="false" outlineLevel="0" collapsed="false">
      <c r="A365" s="2" t="s">
        <v>402</v>
      </c>
      <c r="B365" s="3" t="n">
        <v>46283</v>
      </c>
      <c r="C365" s="2" t="s">
        <v>44</v>
      </c>
      <c r="D365" s="2" t="s">
        <v>16</v>
      </c>
      <c r="E365" s="2" t="s">
        <v>17</v>
      </c>
      <c r="F365" s="2" t="s">
        <v>24</v>
      </c>
      <c r="G365" s="2" t="s">
        <v>19</v>
      </c>
      <c r="H365" s="2" t="n">
        <v>0.6</v>
      </c>
      <c r="I365" s="2" t="n">
        <v>11.2</v>
      </c>
      <c r="J365" s="2" t="s">
        <v>20</v>
      </c>
      <c r="K365" s="2"/>
      <c r="L365" s="3" t="n">
        <f aca="false">B365-WEEKDAY(B365,2)+1</f>
        <v>46279</v>
      </c>
      <c r="M365" s="4" t="n">
        <f aca="false">IFERROR(INDEX(02_Parâmetros!$B$14:$B$17,MATCH(C365,02_Parâmetros!$A$14:$A$17,0)),"")</f>
        <v>2</v>
      </c>
      <c r="N365" s="2" t="str">
        <f aca="false">IF(OR(H365="",M365=""),"",IF(H365&lt;=M365,"Sim","Não"))</f>
        <v>Sim</v>
      </c>
    </row>
    <row r="366" customFormat="false" ht="15" hidden="false" customHeight="false" outlineLevel="0" collapsed="false">
      <c r="A366" s="2" t="s">
        <v>403</v>
      </c>
      <c r="B366" s="3" t="n">
        <v>46283</v>
      </c>
      <c r="C366" s="2" t="s">
        <v>44</v>
      </c>
      <c r="D366" s="2" t="s">
        <v>16</v>
      </c>
      <c r="E366" s="2" t="s">
        <v>36</v>
      </c>
      <c r="F366" s="2" t="s">
        <v>18</v>
      </c>
      <c r="G366" s="2" t="s">
        <v>19</v>
      </c>
      <c r="H366" s="2" t="n">
        <v>1.3</v>
      </c>
      <c r="I366" s="2" t="n">
        <v>7.1</v>
      </c>
      <c r="J366" s="2" t="s">
        <v>20</v>
      </c>
      <c r="K366" s="2"/>
      <c r="L366" s="3" t="n">
        <f aca="false">B366-WEEKDAY(B366,2)+1</f>
        <v>46279</v>
      </c>
      <c r="M366" s="4" t="n">
        <f aca="false">IFERROR(INDEX(02_Parâmetros!$B$14:$B$17,MATCH(C366,02_Parâmetros!$A$14:$A$17,0)),"")</f>
        <v>2</v>
      </c>
      <c r="N366" s="2" t="str">
        <f aca="false">IF(OR(H366="",M366=""),"",IF(H366&lt;=M366,"Sim","Não"))</f>
        <v>Sim</v>
      </c>
    </row>
    <row r="367" customFormat="false" ht="15" hidden="false" customHeight="false" outlineLevel="0" collapsed="false">
      <c r="A367" s="2" t="s">
        <v>404</v>
      </c>
      <c r="B367" s="3" t="n">
        <v>46283</v>
      </c>
      <c r="C367" s="2" t="s">
        <v>27</v>
      </c>
      <c r="D367" s="2" t="s">
        <v>16</v>
      </c>
      <c r="E367" s="2" t="s">
        <v>36</v>
      </c>
      <c r="F367" s="2" t="s">
        <v>42</v>
      </c>
      <c r="G367" s="2" t="s">
        <v>19</v>
      </c>
      <c r="H367" s="2" t="n">
        <v>8.9</v>
      </c>
      <c r="I367" s="2" t="n">
        <v>7.5</v>
      </c>
      <c r="J367" s="2" t="s">
        <v>20</v>
      </c>
      <c r="K367" s="2" t="n">
        <v>5</v>
      </c>
      <c r="L367" s="3" t="n">
        <f aca="false">B367-WEEKDAY(B367,2)+1</f>
        <v>46279</v>
      </c>
      <c r="M367" s="4" t="n">
        <f aca="false">IFERROR(INDEX(02_Parâmetros!$B$14:$B$17,MATCH(C367,02_Parâmetros!$A$14:$A$17,0)),"")</f>
        <v>10</v>
      </c>
      <c r="N367" s="2" t="str">
        <f aca="false">IF(OR(H367="",M367=""),"",IF(H367&lt;=M367,"Sim","Não"))</f>
        <v>Sim</v>
      </c>
    </row>
    <row r="368" customFormat="false" ht="15" hidden="false" customHeight="false" outlineLevel="0" collapsed="false">
      <c r="A368" s="2" t="s">
        <v>405</v>
      </c>
      <c r="B368" s="3" t="n">
        <v>46283</v>
      </c>
      <c r="C368" s="2" t="s">
        <v>44</v>
      </c>
      <c r="D368" s="2" t="s">
        <v>38</v>
      </c>
      <c r="E368" s="2" t="s">
        <v>56</v>
      </c>
      <c r="F368" s="2" t="s">
        <v>32</v>
      </c>
      <c r="G368" s="2" t="s">
        <v>19</v>
      </c>
      <c r="H368" s="2" t="n">
        <v>1.9</v>
      </c>
      <c r="I368" s="2" t="n">
        <v>10.2</v>
      </c>
      <c r="J368" s="2" t="s">
        <v>20</v>
      </c>
      <c r="K368" s="2"/>
      <c r="L368" s="3" t="n">
        <f aca="false">B368-WEEKDAY(B368,2)+1</f>
        <v>46279</v>
      </c>
      <c r="M368" s="4" t="n">
        <f aca="false">IFERROR(INDEX(02_Parâmetros!$B$14:$B$17,MATCH(C368,02_Parâmetros!$A$14:$A$17,0)),"")</f>
        <v>2</v>
      </c>
      <c r="N368" s="2" t="str">
        <f aca="false">IF(OR(H368="",M368=""),"",IF(H368&lt;=M368,"Sim","Não"))</f>
        <v>Sim</v>
      </c>
    </row>
    <row r="369" customFormat="false" ht="15" hidden="false" customHeight="false" outlineLevel="0" collapsed="false">
      <c r="A369" s="2" t="s">
        <v>406</v>
      </c>
      <c r="B369" s="3" t="n">
        <v>46283</v>
      </c>
      <c r="C369" s="2" t="s">
        <v>27</v>
      </c>
      <c r="D369" s="2" t="s">
        <v>16</v>
      </c>
      <c r="E369" s="2" t="s">
        <v>31</v>
      </c>
      <c r="F369" s="2" t="s">
        <v>70</v>
      </c>
      <c r="G369" s="2" t="s">
        <v>19</v>
      </c>
      <c r="H369" s="2" t="n">
        <v>6.5</v>
      </c>
      <c r="I369" s="2" t="n">
        <v>8.3</v>
      </c>
      <c r="J369" s="2" t="s">
        <v>20</v>
      </c>
      <c r="K369" s="2" t="n">
        <v>5</v>
      </c>
      <c r="L369" s="3" t="n">
        <f aca="false">B369-WEEKDAY(B369,2)+1</f>
        <v>46279</v>
      </c>
      <c r="M369" s="4" t="n">
        <f aca="false">IFERROR(INDEX(02_Parâmetros!$B$14:$B$17,MATCH(C369,02_Parâmetros!$A$14:$A$17,0)),"")</f>
        <v>10</v>
      </c>
      <c r="N369" s="2" t="str">
        <f aca="false">IF(OR(H369="",M369=""),"",IF(H369&lt;=M369,"Sim","Não"))</f>
        <v>Sim</v>
      </c>
    </row>
    <row r="370" customFormat="false" ht="15" hidden="false" customHeight="false" outlineLevel="0" collapsed="false">
      <c r="A370" s="2" t="s">
        <v>407</v>
      </c>
      <c r="B370" s="3" t="n">
        <v>46283</v>
      </c>
      <c r="C370" s="2" t="s">
        <v>27</v>
      </c>
      <c r="D370" s="2" t="s">
        <v>16</v>
      </c>
      <c r="E370" s="2" t="s">
        <v>36</v>
      </c>
      <c r="F370" s="2" t="s">
        <v>18</v>
      </c>
      <c r="G370" s="2" t="s">
        <v>19</v>
      </c>
      <c r="H370" s="2" t="n">
        <v>7.6</v>
      </c>
      <c r="I370" s="2" t="n">
        <v>5.9</v>
      </c>
      <c r="J370" s="2" t="s">
        <v>25</v>
      </c>
      <c r="K370" s="2"/>
      <c r="L370" s="3" t="n">
        <f aca="false">B370-WEEKDAY(B370,2)+1</f>
        <v>46279</v>
      </c>
      <c r="M370" s="4" t="n">
        <f aca="false">IFERROR(INDEX(02_Parâmetros!$B$14:$B$17,MATCH(C370,02_Parâmetros!$A$14:$A$17,0)),"")</f>
        <v>10</v>
      </c>
      <c r="N370" s="2" t="str">
        <f aca="false">IF(OR(H370="",M370=""),"",IF(H370&lt;=M370,"Sim","Não"))</f>
        <v>Sim</v>
      </c>
    </row>
    <row r="371" customFormat="false" ht="15" hidden="false" customHeight="false" outlineLevel="0" collapsed="false">
      <c r="A371" s="2" t="s">
        <v>408</v>
      </c>
      <c r="B371" s="3" t="n">
        <v>46283</v>
      </c>
      <c r="C371" s="2" t="s">
        <v>41</v>
      </c>
      <c r="D371" s="2" t="s">
        <v>22</v>
      </c>
      <c r="E371" s="2" t="s">
        <v>28</v>
      </c>
      <c r="F371" s="2" t="s">
        <v>24</v>
      </c>
      <c r="G371" s="2" t="s">
        <v>19</v>
      </c>
      <c r="H371" s="2" t="n">
        <v>324.1</v>
      </c>
      <c r="I371" s="2" t="n">
        <v>11</v>
      </c>
      <c r="J371" s="2" t="s">
        <v>20</v>
      </c>
      <c r="K371" s="2" t="n">
        <v>5</v>
      </c>
      <c r="L371" s="3" t="n">
        <f aca="false">B371-WEEKDAY(B371,2)+1</f>
        <v>46279</v>
      </c>
      <c r="M371" s="4" t="n">
        <f aca="false">IFERROR(INDEX(02_Parâmetros!$B$14:$B$17,MATCH(C371,02_Parâmetros!$A$14:$A$17,0)),"")</f>
        <v>240</v>
      </c>
      <c r="N371" s="2" t="str">
        <f aca="false">IF(OR(H371="",M371=""),"",IF(H371&lt;=M371,"Sim","Não"))</f>
        <v>Não</v>
      </c>
    </row>
    <row r="372" customFormat="false" ht="15" hidden="false" customHeight="false" outlineLevel="0" collapsed="false">
      <c r="A372" s="2" t="s">
        <v>409</v>
      </c>
      <c r="B372" s="3" t="n">
        <v>46283</v>
      </c>
      <c r="C372" s="2" t="s">
        <v>27</v>
      </c>
      <c r="D372" s="2" t="s">
        <v>22</v>
      </c>
      <c r="E372" s="2" t="s">
        <v>28</v>
      </c>
      <c r="F372" s="2" t="s">
        <v>24</v>
      </c>
      <c r="G372" s="2" t="s">
        <v>19</v>
      </c>
      <c r="H372" s="2" t="n">
        <v>9.8</v>
      </c>
      <c r="I372" s="2" t="n">
        <v>9.7</v>
      </c>
      <c r="J372" s="2" t="s">
        <v>25</v>
      </c>
      <c r="K372" s="2"/>
      <c r="L372" s="3" t="n">
        <f aca="false">B372-WEEKDAY(B372,2)+1</f>
        <v>46279</v>
      </c>
      <c r="M372" s="4" t="n">
        <f aca="false">IFERROR(INDEX(02_Parâmetros!$B$14:$B$17,MATCH(C372,02_Parâmetros!$A$14:$A$17,0)),"")</f>
        <v>10</v>
      </c>
      <c r="N372" s="2" t="str">
        <f aca="false">IF(OR(H372="",M372=""),"",IF(H372&lt;=M372,"Sim","Não"))</f>
        <v>Sim</v>
      </c>
    </row>
    <row r="373" customFormat="false" ht="15" hidden="false" customHeight="false" outlineLevel="0" collapsed="false">
      <c r="A373" s="2" t="s">
        <v>410</v>
      </c>
      <c r="B373" s="3" t="n">
        <v>46283</v>
      </c>
      <c r="C373" s="2" t="s">
        <v>27</v>
      </c>
      <c r="D373" s="2" t="s">
        <v>22</v>
      </c>
      <c r="E373" s="2" t="s">
        <v>28</v>
      </c>
      <c r="F373" s="2" t="s">
        <v>18</v>
      </c>
      <c r="G373" s="2" t="s">
        <v>19</v>
      </c>
      <c r="H373" s="2" t="n">
        <v>23.3</v>
      </c>
      <c r="I373" s="2" t="n">
        <v>9.5</v>
      </c>
      <c r="J373" s="2" t="s">
        <v>20</v>
      </c>
      <c r="K373" s="2"/>
      <c r="L373" s="3" t="n">
        <f aca="false">B373-WEEKDAY(B373,2)+1</f>
        <v>46279</v>
      </c>
      <c r="M373" s="4" t="n">
        <f aca="false">IFERROR(INDEX(02_Parâmetros!$B$14:$B$17,MATCH(C373,02_Parâmetros!$A$14:$A$17,0)),"")</f>
        <v>10</v>
      </c>
      <c r="N373" s="2" t="str">
        <f aca="false">IF(OR(H373="",M373=""),"",IF(H373&lt;=M373,"Sim","Não"))</f>
        <v>Não</v>
      </c>
    </row>
    <row r="374" customFormat="false" ht="15" hidden="false" customHeight="false" outlineLevel="0" collapsed="false">
      <c r="A374" s="2" t="s">
        <v>411</v>
      </c>
      <c r="B374" s="3" t="n">
        <v>46283</v>
      </c>
      <c r="C374" s="2" t="s">
        <v>41</v>
      </c>
      <c r="D374" s="2" t="s">
        <v>16</v>
      </c>
      <c r="E374" s="2" t="s">
        <v>36</v>
      </c>
      <c r="F374" s="2" t="s">
        <v>18</v>
      </c>
      <c r="G374" s="2" t="s">
        <v>19</v>
      </c>
      <c r="H374" s="2" t="n">
        <v>167.1</v>
      </c>
      <c r="I374" s="2" t="n">
        <v>10.9</v>
      </c>
      <c r="J374" s="2" t="s">
        <v>20</v>
      </c>
      <c r="K374" s="2" t="n">
        <v>5</v>
      </c>
      <c r="L374" s="3" t="n">
        <f aca="false">B374-WEEKDAY(B374,2)+1</f>
        <v>46279</v>
      </c>
      <c r="M374" s="4" t="n">
        <f aca="false">IFERROR(INDEX(02_Parâmetros!$B$14:$B$17,MATCH(C374,02_Parâmetros!$A$14:$A$17,0)),"")</f>
        <v>240</v>
      </c>
      <c r="N374" s="2" t="str">
        <f aca="false">IF(OR(H374="",M374=""),"",IF(H374&lt;=M374,"Sim","Não"))</f>
        <v>Sim</v>
      </c>
    </row>
    <row r="375" customFormat="false" ht="15" hidden="false" customHeight="false" outlineLevel="0" collapsed="false">
      <c r="A375" s="2" t="s">
        <v>412</v>
      </c>
      <c r="B375" s="3" t="n">
        <v>46283</v>
      </c>
      <c r="C375" s="2" t="s">
        <v>41</v>
      </c>
      <c r="D375" s="2" t="s">
        <v>16</v>
      </c>
      <c r="E375" s="2" t="s">
        <v>17</v>
      </c>
      <c r="F375" s="2" t="s">
        <v>34</v>
      </c>
      <c r="G375" s="2" t="s">
        <v>19</v>
      </c>
      <c r="H375" s="2" t="n">
        <v>118.2</v>
      </c>
      <c r="I375" s="2" t="n">
        <v>16.5</v>
      </c>
      <c r="J375" s="2" t="s">
        <v>20</v>
      </c>
      <c r="K375" s="2"/>
      <c r="L375" s="3" t="n">
        <f aca="false">B375-WEEKDAY(B375,2)+1</f>
        <v>46279</v>
      </c>
      <c r="M375" s="4" t="n">
        <f aca="false">IFERROR(INDEX(02_Parâmetros!$B$14:$B$17,MATCH(C375,02_Parâmetros!$A$14:$A$17,0)),"")</f>
        <v>240</v>
      </c>
      <c r="N375" s="2" t="str">
        <f aca="false">IF(OR(H375="",M375=""),"",IF(H375&lt;=M375,"Sim","Não"))</f>
        <v>Sim</v>
      </c>
    </row>
    <row r="376" customFormat="false" ht="15" hidden="false" customHeight="false" outlineLevel="0" collapsed="false">
      <c r="A376" s="2" t="s">
        <v>413</v>
      </c>
      <c r="B376" s="3" t="n">
        <v>46286</v>
      </c>
      <c r="C376" s="2" t="s">
        <v>44</v>
      </c>
      <c r="D376" s="2" t="s">
        <v>38</v>
      </c>
      <c r="E376" s="2" t="s">
        <v>47</v>
      </c>
      <c r="F376" s="2" t="s">
        <v>18</v>
      </c>
      <c r="G376" s="2" t="s">
        <v>19</v>
      </c>
      <c r="H376" s="2" t="n">
        <v>1.2</v>
      </c>
      <c r="I376" s="2" t="n">
        <v>9.1</v>
      </c>
      <c r="J376" s="2" t="s">
        <v>20</v>
      </c>
      <c r="K376" s="2" t="n">
        <v>2</v>
      </c>
      <c r="L376" s="3" t="n">
        <f aca="false">B376-WEEKDAY(B376,2)+1</f>
        <v>46286</v>
      </c>
      <c r="M376" s="4" t="n">
        <f aca="false">IFERROR(INDEX(02_Parâmetros!$B$14:$B$17,MATCH(C376,02_Parâmetros!$A$14:$A$17,0)),"")</f>
        <v>2</v>
      </c>
      <c r="N376" s="2" t="str">
        <f aca="false">IF(OR(H376="",M376=""),"",IF(H376&lt;=M376,"Sim","Não"))</f>
        <v>Sim</v>
      </c>
    </row>
    <row r="377" customFormat="false" ht="15" hidden="false" customHeight="false" outlineLevel="0" collapsed="false">
      <c r="A377" s="2" t="s">
        <v>414</v>
      </c>
      <c r="B377" s="3" t="n">
        <v>46286</v>
      </c>
      <c r="C377" s="2" t="s">
        <v>41</v>
      </c>
      <c r="D377" s="2" t="s">
        <v>16</v>
      </c>
      <c r="E377" s="2" t="s">
        <v>17</v>
      </c>
      <c r="F377" s="2" t="s">
        <v>32</v>
      </c>
      <c r="G377" s="2" t="s">
        <v>19</v>
      </c>
      <c r="H377" s="2" t="n">
        <v>208.9</v>
      </c>
      <c r="I377" s="2" t="n">
        <v>8.6</v>
      </c>
      <c r="J377" s="2" t="s">
        <v>25</v>
      </c>
      <c r="K377" s="2"/>
      <c r="L377" s="3" t="n">
        <f aca="false">B377-WEEKDAY(B377,2)+1</f>
        <v>46286</v>
      </c>
      <c r="M377" s="4" t="n">
        <f aca="false">IFERROR(INDEX(02_Parâmetros!$B$14:$B$17,MATCH(C377,02_Parâmetros!$A$14:$A$17,0)),"")</f>
        <v>240</v>
      </c>
      <c r="N377" s="2" t="str">
        <f aca="false">IF(OR(H377="",M377=""),"",IF(H377&lt;=M377,"Sim","Não"))</f>
        <v>Sim</v>
      </c>
    </row>
    <row r="378" customFormat="false" ht="15" hidden="false" customHeight="false" outlineLevel="0" collapsed="false">
      <c r="A378" s="2" t="s">
        <v>415</v>
      </c>
      <c r="B378" s="3" t="n">
        <v>46286</v>
      </c>
      <c r="C378" s="2" t="s">
        <v>44</v>
      </c>
      <c r="D378" s="2" t="s">
        <v>16</v>
      </c>
      <c r="E378" s="2" t="s">
        <v>31</v>
      </c>
      <c r="F378" s="2" t="s">
        <v>42</v>
      </c>
      <c r="G378" s="2" t="s">
        <v>19</v>
      </c>
      <c r="H378" s="2" t="n">
        <v>1.5</v>
      </c>
      <c r="I378" s="2" t="n">
        <v>7.6</v>
      </c>
      <c r="J378" s="2" t="s">
        <v>20</v>
      </c>
      <c r="K378" s="2"/>
      <c r="L378" s="3" t="n">
        <f aca="false">B378-WEEKDAY(B378,2)+1</f>
        <v>46286</v>
      </c>
      <c r="M378" s="4" t="n">
        <f aca="false">IFERROR(INDEX(02_Parâmetros!$B$14:$B$17,MATCH(C378,02_Parâmetros!$A$14:$A$17,0)),"")</f>
        <v>2</v>
      </c>
      <c r="N378" s="2" t="str">
        <f aca="false">IF(OR(H378="",M378=""),"",IF(H378&lt;=M378,"Sim","Não"))</f>
        <v>Sim</v>
      </c>
    </row>
    <row r="379" customFormat="false" ht="15" hidden="false" customHeight="false" outlineLevel="0" collapsed="false">
      <c r="A379" s="2" t="s">
        <v>416</v>
      </c>
      <c r="B379" s="3" t="n">
        <v>46286</v>
      </c>
      <c r="C379" s="2" t="s">
        <v>44</v>
      </c>
      <c r="D379" s="2" t="s">
        <v>16</v>
      </c>
      <c r="E379" s="2" t="s">
        <v>31</v>
      </c>
      <c r="F379" s="2" t="s">
        <v>34</v>
      </c>
      <c r="G379" s="2" t="s">
        <v>19</v>
      </c>
      <c r="H379" s="2" t="n">
        <v>0.9</v>
      </c>
      <c r="I379" s="2" t="n">
        <v>7.6</v>
      </c>
      <c r="J379" s="2" t="s">
        <v>20</v>
      </c>
      <c r="K379" s="2"/>
      <c r="L379" s="3" t="n">
        <f aca="false">B379-WEEKDAY(B379,2)+1</f>
        <v>46286</v>
      </c>
      <c r="M379" s="4" t="n">
        <f aca="false">IFERROR(INDEX(02_Parâmetros!$B$14:$B$17,MATCH(C379,02_Parâmetros!$A$14:$A$17,0)),"")</f>
        <v>2</v>
      </c>
      <c r="N379" s="2" t="str">
        <f aca="false">IF(OR(H379="",M379=""),"",IF(H379&lt;=M379,"Sim","Não"))</f>
        <v>Sim</v>
      </c>
    </row>
    <row r="380" customFormat="false" ht="15" hidden="false" customHeight="false" outlineLevel="0" collapsed="false">
      <c r="A380" s="2" t="s">
        <v>417</v>
      </c>
      <c r="B380" s="3" t="n">
        <v>46286</v>
      </c>
      <c r="C380" s="2" t="s">
        <v>15</v>
      </c>
      <c r="D380" s="2" t="s">
        <v>38</v>
      </c>
      <c r="E380" s="2" t="s">
        <v>56</v>
      </c>
      <c r="F380" s="2" t="s">
        <v>18</v>
      </c>
      <c r="G380" s="2" t="s">
        <v>19</v>
      </c>
      <c r="H380" s="2" t="n">
        <v>0.5</v>
      </c>
      <c r="I380" s="2" t="n">
        <v>13.4</v>
      </c>
      <c r="J380" s="2" t="s">
        <v>20</v>
      </c>
      <c r="K380" s="2" t="n">
        <v>3</v>
      </c>
      <c r="L380" s="3" t="n">
        <f aca="false">B380-WEEKDAY(B380,2)+1</f>
        <v>46286</v>
      </c>
      <c r="M380" s="4" t="n">
        <f aca="false">IFERROR(INDEX(02_Parâmetros!$B$14:$B$17,MATCH(C380,02_Parâmetros!$A$14:$A$17,0)),"")</f>
        <v>1</v>
      </c>
      <c r="N380" s="2" t="str">
        <f aca="false">IF(OR(H380="",M380=""),"",IF(H380&lt;=M380,"Sim","Não"))</f>
        <v>Sim</v>
      </c>
    </row>
    <row r="381" customFormat="false" ht="15" hidden="false" customHeight="false" outlineLevel="0" collapsed="false">
      <c r="A381" s="2" t="s">
        <v>418</v>
      </c>
      <c r="B381" s="3" t="n">
        <v>46286</v>
      </c>
      <c r="C381" s="2" t="s">
        <v>27</v>
      </c>
      <c r="D381" s="2" t="s">
        <v>38</v>
      </c>
      <c r="E381" s="2" t="s">
        <v>39</v>
      </c>
      <c r="F381" s="2" t="s">
        <v>24</v>
      </c>
      <c r="G381" s="2" t="s">
        <v>19</v>
      </c>
      <c r="H381" s="2" t="n">
        <v>4.4</v>
      </c>
      <c r="I381" s="2" t="n">
        <v>14.1</v>
      </c>
      <c r="J381" s="2" t="s">
        <v>25</v>
      </c>
      <c r="K381" s="2"/>
      <c r="L381" s="3" t="n">
        <f aca="false">B381-WEEKDAY(B381,2)+1</f>
        <v>46286</v>
      </c>
      <c r="M381" s="4" t="n">
        <f aca="false">IFERROR(INDEX(02_Parâmetros!$B$14:$B$17,MATCH(C381,02_Parâmetros!$A$14:$A$17,0)),"")</f>
        <v>10</v>
      </c>
      <c r="N381" s="2" t="str">
        <f aca="false">IF(OR(H381="",M381=""),"",IF(H381&lt;=M381,"Sim","Não"))</f>
        <v>Sim</v>
      </c>
    </row>
    <row r="382" customFormat="false" ht="15" hidden="false" customHeight="false" outlineLevel="0" collapsed="false">
      <c r="A382" s="2" t="s">
        <v>419</v>
      </c>
      <c r="B382" s="3" t="n">
        <v>46286</v>
      </c>
      <c r="C382" s="2" t="s">
        <v>41</v>
      </c>
      <c r="D382" s="2" t="s">
        <v>38</v>
      </c>
      <c r="E382" s="2" t="s">
        <v>56</v>
      </c>
      <c r="F382" s="2" t="s">
        <v>42</v>
      </c>
      <c r="G382" s="2" t="s">
        <v>19</v>
      </c>
      <c r="H382" s="2" t="n">
        <v>77.4</v>
      </c>
      <c r="I382" s="2" t="n">
        <v>9.7</v>
      </c>
      <c r="J382" s="2" t="s">
        <v>20</v>
      </c>
      <c r="K382" s="2"/>
      <c r="L382" s="3" t="n">
        <f aca="false">B382-WEEKDAY(B382,2)+1</f>
        <v>46286</v>
      </c>
      <c r="M382" s="4" t="n">
        <f aca="false">IFERROR(INDEX(02_Parâmetros!$B$14:$B$17,MATCH(C382,02_Parâmetros!$A$14:$A$17,0)),"")</f>
        <v>240</v>
      </c>
      <c r="N382" s="2" t="str">
        <f aca="false">IF(OR(H382="",M382=""),"",IF(H382&lt;=M382,"Sim","Não"))</f>
        <v>Sim</v>
      </c>
    </row>
    <row r="383" customFormat="false" ht="15" hidden="false" customHeight="false" outlineLevel="0" collapsed="false">
      <c r="A383" s="2" t="s">
        <v>420</v>
      </c>
      <c r="B383" s="3" t="n">
        <v>46286</v>
      </c>
      <c r="C383" s="2" t="s">
        <v>15</v>
      </c>
      <c r="D383" s="2" t="s">
        <v>38</v>
      </c>
      <c r="E383" s="2" t="s">
        <v>56</v>
      </c>
      <c r="F383" s="2" t="s">
        <v>42</v>
      </c>
      <c r="G383" s="2" t="s">
        <v>19</v>
      </c>
      <c r="H383" s="2" t="n">
        <v>0.9</v>
      </c>
      <c r="I383" s="2" t="n">
        <v>10.6</v>
      </c>
      <c r="J383" s="2" t="s">
        <v>20</v>
      </c>
      <c r="K383" s="2"/>
      <c r="L383" s="3" t="n">
        <f aca="false">B383-WEEKDAY(B383,2)+1</f>
        <v>46286</v>
      </c>
      <c r="M383" s="4" t="n">
        <f aca="false">IFERROR(INDEX(02_Parâmetros!$B$14:$B$17,MATCH(C383,02_Parâmetros!$A$14:$A$17,0)),"")</f>
        <v>1</v>
      </c>
      <c r="N383" s="2" t="str">
        <f aca="false">IF(OR(H383="",M383=""),"",IF(H383&lt;=M383,"Sim","Não"))</f>
        <v>Sim</v>
      </c>
    </row>
    <row r="384" customFormat="false" ht="15" hidden="false" customHeight="false" outlineLevel="0" collapsed="false">
      <c r="A384" s="2" t="s">
        <v>421</v>
      </c>
      <c r="B384" s="3" t="n">
        <v>46286</v>
      </c>
      <c r="C384" s="2" t="s">
        <v>44</v>
      </c>
      <c r="D384" s="2" t="s">
        <v>38</v>
      </c>
      <c r="E384" s="2" t="s">
        <v>39</v>
      </c>
      <c r="F384" s="2" t="s">
        <v>18</v>
      </c>
      <c r="G384" s="2" t="s">
        <v>19</v>
      </c>
      <c r="H384" s="2" t="n">
        <v>1.5</v>
      </c>
      <c r="I384" s="2" t="n">
        <v>11.4</v>
      </c>
      <c r="J384" s="2" t="s">
        <v>25</v>
      </c>
      <c r="K384" s="2" t="n">
        <v>5</v>
      </c>
      <c r="L384" s="3" t="n">
        <f aca="false">B384-WEEKDAY(B384,2)+1</f>
        <v>46286</v>
      </c>
      <c r="M384" s="4" t="n">
        <f aca="false">IFERROR(INDEX(02_Parâmetros!$B$14:$B$17,MATCH(C384,02_Parâmetros!$A$14:$A$17,0)),"")</f>
        <v>2</v>
      </c>
      <c r="N384" s="2" t="str">
        <f aca="false">IF(OR(H384="",M384=""),"",IF(H384&lt;=M384,"Sim","Não"))</f>
        <v>Sim</v>
      </c>
    </row>
    <row r="385" customFormat="false" ht="15" hidden="false" customHeight="false" outlineLevel="0" collapsed="false">
      <c r="A385" s="2" t="s">
        <v>422</v>
      </c>
      <c r="B385" s="3" t="n">
        <v>46286</v>
      </c>
      <c r="C385" s="2" t="s">
        <v>27</v>
      </c>
      <c r="D385" s="2" t="s">
        <v>16</v>
      </c>
      <c r="E385" s="2" t="s">
        <v>36</v>
      </c>
      <c r="F385" s="2" t="s">
        <v>70</v>
      </c>
      <c r="G385" s="2" t="s">
        <v>19</v>
      </c>
      <c r="H385" s="2" t="n">
        <v>5.1</v>
      </c>
      <c r="I385" s="2" t="n">
        <v>5.8</v>
      </c>
      <c r="J385" s="2" t="s">
        <v>20</v>
      </c>
      <c r="K385" s="2"/>
      <c r="L385" s="3" t="n">
        <f aca="false">B385-WEEKDAY(B385,2)+1</f>
        <v>46286</v>
      </c>
      <c r="M385" s="4" t="n">
        <f aca="false">IFERROR(INDEX(02_Parâmetros!$B$14:$B$17,MATCH(C385,02_Parâmetros!$A$14:$A$17,0)),"")</f>
        <v>10</v>
      </c>
      <c r="N385" s="2" t="str">
        <f aca="false">IF(OR(H385="",M385=""),"",IF(H385&lt;=M385,"Sim","Não"))</f>
        <v>Sim</v>
      </c>
    </row>
    <row r="386" customFormat="false" ht="15" hidden="false" customHeight="false" outlineLevel="0" collapsed="false">
      <c r="A386" s="2" t="s">
        <v>423</v>
      </c>
      <c r="B386" s="3" t="n">
        <v>46286</v>
      </c>
      <c r="C386" s="2" t="s">
        <v>41</v>
      </c>
      <c r="D386" s="2" t="s">
        <v>22</v>
      </c>
      <c r="E386" s="2" t="s">
        <v>28</v>
      </c>
      <c r="F386" s="2" t="s">
        <v>18</v>
      </c>
      <c r="G386" s="2" t="s">
        <v>19</v>
      </c>
      <c r="H386" s="2" t="n">
        <v>688.6</v>
      </c>
      <c r="I386" s="2" t="n">
        <v>8</v>
      </c>
      <c r="J386" s="2" t="s">
        <v>25</v>
      </c>
      <c r="K386" s="2"/>
      <c r="L386" s="3" t="n">
        <f aca="false">B386-WEEKDAY(B386,2)+1</f>
        <v>46286</v>
      </c>
      <c r="M386" s="4" t="n">
        <f aca="false">IFERROR(INDEX(02_Parâmetros!$B$14:$B$17,MATCH(C386,02_Parâmetros!$A$14:$A$17,0)),"")</f>
        <v>240</v>
      </c>
      <c r="N386" s="2" t="str">
        <f aca="false">IF(OR(H386="",M386=""),"",IF(H386&lt;=M386,"Sim","Não"))</f>
        <v>Não</v>
      </c>
    </row>
    <row r="387" customFormat="false" ht="15" hidden="false" customHeight="false" outlineLevel="0" collapsed="false">
      <c r="A387" s="2" t="s">
        <v>424</v>
      </c>
      <c r="B387" s="3" t="n">
        <v>46286</v>
      </c>
      <c r="C387" s="2" t="s">
        <v>41</v>
      </c>
      <c r="D387" s="2" t="s">
        <v>22</v>
      </c>
      <c r="E387" s="2" t="s">
        <v>23</v>
      </c>
      <c r="F387" s="2" t="s">
        <v>70</v>
      </c>
      <c r="G387" s="2" t="s">
        <v>19</v>
      </c>
      <c r="H387" s="2" t="n">
        <v>102.3</v>
      </c>
      <c r="I387" s="2" t="n">
        <v>10.7</v>
      </c>
      <c r="J387" s="2" t="s">
        <v>20</v>
      </c>
      <c r="K387" s="2"/>
      <c r="L387" s="3" t="n">
        <f aca="false">B387-WEEKDAY(B387,2)+1</f>
        <v>46286</v>
      </c>
      <c r="M387" s="4" t="n">
        <f aca="false">IFERROR(INDEX(02_Parâmetros!$B$14:$B$17,MATCH(C387,02_Parâmetros!$A$14:$A$17,0)),"")</f>
        <v>240</v>
      </c>
      <c r="N387" s="2" t="str">
        <f aca="false">IF(OR(H387="",M387=""),"",IF(H387&lt;=M387,"Sim","Não"))</f>
        <v>Sim</v>
      </c>
    </row>
    <row r="388" customFormat="false" ht="15" hidden="false" customHeight="false" outlineLevel="0" collapsed="false">
      <c r="A388" s="2" t="s">
        <v>425</v>
      </c>
      <c r="B388" s="3" t="n">
        <v>46286</v>
      </c>
      <c r="C388" s="2" t="s">
        <v>41</v>
      </c>
      <c r="D388" s="2" t="s">
        <v>22</v>
      </c>
      <c r="E388" s="2" t="s">
        <v>28</v>
      </c>
      <c r="F388" s="2" t="s">
        <v>24</v>
      </c>
      <c r="G388" s="2" t="s">
        <v>19</v>
      </c>
      <c r="H388" s="2" t="n">
        <v>204.9</v>
      </c>
      <c r="I388" s="2" t="n">
        <v>11.4</v>
      </c>
      <c r="J388" s="2" t="s">
        <v>20</v>
      </c>
      <c r="K388" s="2"/>
      <c r="L388" s="3" t="n">
        <f aca="false">B388-WEEKDAY(B388,2)+1</f>
        <v>46286</v>
      </c>
      <c r="M388" s="4" t="n">
        <f aca="false">IFERROR(INDEX(02_Parâmetros!$B$14:$B$17,MATCH(C388,02_Parâmetros!$A$14:$A$17,0)),"")</f>
        <v>240</v>
      </c>
      <c r="N388" s="2" t="str">
        <f aca="false">IF(OR(H388="",M388=""),"",IF(H388&lt;=M388,"Sim","Não"))</f>
        <v>Sim</v>
      </c>
    </row>
    <row r="389" customFormat="false" ht="15" hidden="false" customHeight="false" outlineLevel="0" collapsed="false">
      <c r="A389" s="2" t="s">
        <v>426</v>
      </c>
      <c r="B389" s="3" t="n">
        <v>46286</v>
      </c>
      <c r="C389" s="2" t="s">
        <v>41</v>
      </c>
      <c r="D389" s="2" t="s">
        <v>38</v>
      </c>
      <c r="E389" s="2" t="s">
        <v>47</v>
      </c>
      <c r="F389" s="2" t="s">
        <v>32</v>
      </c>
      <c r="G389" s="2" t="s">
        <v>19</v>
      </c>
      <c r="H389" s="2" t="n">
        <v>206.3</v>
      </c>
      <c r="I389" s="2" t="n">
        <v>10.5</v>
      </c>
      <c r="J389" s="2" t="s">
        <v>20</v>
      </c>
      <c r="K389" s="2"/>
      <c r="L389" s="3" t="n">
        <f aca="false">B389-WEEKDAY(B389,2)+1</f>
        <v>46286</v>
      </c>
      <c r="M389" s="4" t="n">
        <f aca="false">IFERROR(INDEX(02_Parâmetros!$B$14:$B$17,MATCH(C389,02_Parâmetros!$A$14:$A$17,0)),"")</f>
        <v>240</v>
      </c>
      <c r="N389" s="2" t="str">
        <f aca="false">IF(OR(H389="",M389=""),"",IF(H389&lt;=M389,"Sim","Não"))</f>
        <v>Sim</v>
      </c>
    </row>
    <row r="390" customFormat="false" ht="15" hidden="false" customHeight="false" outlineLevel="0" collapsed="false">
      <c r="A390" s="2" t="s">
        <v>427</v>
      </c>
      <c r="B390" s="3" t="n">
        <v>46286</v>
      </c>
      <c r="C390" s="2" t="s">
        <v>15</v>
      </c>
      <c r="D390" s="2" t="s">
        <v>16</v>
      </c>
      <c r="E390" s="2" t="s">
        <v>17</v>
      </c>
      <c r="F390" s="2" t="s">
        <v>42</v>
      </c>
      <c r="G390" s="2" t="s">
        <v>19</v>
      </c>
      <c r="H390" s="2" t="n">
        <v>1</v>
      </c>
      <c r="I390" s="2" t="n">
        <v>11</v>
      </c>
      <c r="J390" s="2" t="s">
        <v>20</v>
      </c>
      <c r="K390" s="2"/>
      <c r="L390" s="3" t="n">
        <f aca="false">B390-WEEKDAY(B390,2)+1</f>
        <v>46286</v>
      </c>
      <c r="M390" s="4" t="n">
        <f aca="false">IFERROR(INDEX(02_Parâmetros!$B$14:$B$17,MATCH(C390,02_Parâmetros!$A$14:$A$17,0)),"")</f>
        <v>1</v>
      </c>
      <c r="N390" s="2" t="str">
        <f aca="false">IF(OR(H390="",M390=""),"",IF(H390&lt;=M390,"Sim","Não"))</f>
        <v>Sim</v>
      </c>
    </row>
    <row r="391" customFormat="false" ht="15" hidden="false" customHeight="false" outlineLevel="0" collapsed="false">
      <c r="A391" s="2" t="s">
        <v>428</v>
      </c>
      <c r="B391" s="3" t="n">
        <v>46286</v>
      </c>
      <c r="C391" s="2" t="s">
        <v>27</v>
      </c>
      <c r="D391" s="2" t="s">
        <v>22</v>
      </c>
      <c r="E391" s="2" t="s">
        <v>23</v>
      </c>
      <c r="F391" s="2" t="s">
        <v>32</v>
      </c>
      <c r="G391" s="2" t="s">
        <v>19</v>
      </c>
      <c r="H391" s="2" t="n">
        <v>5.3</v>
      </c>
      <c r="I391" s="2" t="n">
        <v>6.8</v>
      </c>
      <c r="J391" s="2" t="s">
        <v>20</v>
      </c>
      <c r="K391" s="2" t="n">
        <v>5</v>
      </c>
      <c r="L391" s="3" t="n">
        <f aca="false">B391-WEEKDAY(B391,2)+1</f>
        <v>46286</v>
      </c>
      <c r="M391" s="4" t="n">
        <f aca="false">IFERROR(INDEX(02_Parâmetros!$B$14:$B$17,MATCH(C391,02_Parâmetros!$A$14:$A$17,0)),"")</f>
        <v>10</v>
      </c>
      <c r="N391" s="2" t="str">
        <f aca="false">IF(OR(H391="",M391=""),"",IF(H391&lt;=M391,"Sim","Não"))</f>
        <v>Sim</v>
      </c>
    </row>
    <row r="392" customFormat="false" ht="15" hidden="false" customHeight="false" outlineLevel="0" collapsed="false">
      <c r="A392" s="2" t="s">
        <v>429</v>
      </c>
      <c r="B392" s="3" t="n">
        <v>46286</v>
      </c>
      <c r="C392" s="2" t="s">
        <v>41</v>
      </c>
      <c r="D392" s="2" t="s">
        <v>16</v>
      </c>
      <c r="E392" s="2" t="s">
        <v>31</v>
      </c>
      <c r="F392" s="2" t="s">
        <v>18</v>
      </c>
      <c r="G392" s="2" t="s">
        <v>19</v>
      </c>
      <c r="H392" s="2" t="n">
        <v>574.5</v>
      </c>
      <c r="I392" s="2" t="n">
        <v>17.1</v>
      </c>
      <c r="J392" s="2" t="s">
        <v>20</v>
      </c>
      <c r="K392" s="2"/>
      <c r="L392" s="3" t="n">
        <f aca="false">B392-WEEKDAY(B392,2)+1</f>
        <v>46286</v>
      </c>
      <c r="M392" s="4" t="n">
        <f aca="false">IFERROR(INDEX(02_Parâmetros!$B$14:$B$17,MATCH(C392,02_Parâmetros!$A$14:$A$17,0)),"")</f>
        <v>240</v>
      </c>
      <c r="N392" s="2" t="str">
        <f aca="false">IF(OR(H392="",M392=""),"",IF(H392&lt;=M392,"Sim","Não"))</f>
        <v>Não</v>
      </c>
    </row>
    <row r="393" customFormat="false" ht="15" hidden="false" customHeight="false" outlineLevel="0" collapsed="false">
      <c r="A393" s="2" t="s">
        <v>430</v>
      </c>
      <c r="B393" s="3" t="n">
        <v>46286</v>
      </c>
      <c r="C393" s="2" t="s">
        <v>44</v>
      </c>
      <c r="D393" s="2" t="s">
        <v>16</v>
      </c>
      <c r="E393" s="2" t="s">
        <v>17</v>
      </c>
      <c r="F393" s="2" t="s">
        <v>32</v>
      </c>
      <c r="G393" s="2" t="s">
        <v>19</v>
      </c>
      <c r="H393" s="2" t="n">
        <v>2.2</v>
      </c>
      <c r="I393" s="2" t="n">
        <v>5.6</v>
      </c>
      <c r="J393" s="2" t="s">
        <v>20</v>
      </c>
      <c r="K393" s="2"/>
      <c r="L393" s="3" t="n">
        <f aca="false">B393-WEEKDAY(B393,2)+1</f>
        <v>46286</v>
      </c>
      <c r="M393" s="4" t="n">
        <f aca="false">IFERROR(INDEX(02_Parâmetros!$B$14:$B$17,MATCH(C393,02_Parâmetros!$A$14:$A$17,0)),"")</f>
        <v>2</v>
      </c>
      <c r="N393" s="2" t="str">
        <f aca="false">IF(OR(H393="",M393=""),"",IF(H393&lt;=M393,"Sim","Não"))</f>
        <v>Não</v>
      </c>
    </row>
    <row r="394" customFormat="false" ht="15" hidden="false" customHeight="false" outlineLevel="0" collapsed="false">
      <c r="A394" s="2" t="s">
        <v>431</v>
      </c>
      <c r="B394" s="3" t="n">
        <v>46286</v>
      </c>
      <c r="C394" s="2" t="s">
        <v>27</v>
      </c>
      <c r="D394" s="2" t="s">
        <v>16</v>
      </c>
      <c r="E394" s="2" t="s">
        <v>36</v>
      </c>
      <c r="F394" s="2" t="s">
        <v>32</v>
      </c>
      <c r="G394" s="2" t="s">
        <v>19</v>
      </c>
      <c r="H394" s="2" t="n">
        <v>3.4</v>
      </c>
      <c r="I394" s="2" t="n">
        <v>5.8</v>
      </c>
      <c r="J394" s="2" t="s">
        <v>20</v>
      </c>
      <c r="K394" s="2"/>
      <c r="L394" s="3" t="n">
        <f aca="false">B394-WEEKDAY(B394,2)+1</f>
        <v>46286</v>
      </c>
      <c r="M394" s="4" t="n">
        <f aca="false">IFERROR(INDEX(02_Parâmetros!$B$14:$B$17,MATCH(C394,02_Parâmetros!$A$14:$A$17,0)),"")</f>
        <v>10</v>
      </c>
      <c r="N394" s="2" t="str">
        <f aca="false">IF(OR(H394="",M394=""),"",IF(H394&lt;=M394,"Sim","Não"))</f>
        <v>Sim</v>
      </c>
    </row>
    <row r="395" customFormat="false" ht="15" hidden="false" customHeight="false" outlineLevel="0" collapsed="false">
      <c r="A395" s="2" t="s">
        <v>432</v>
      </c>
      <c r="B395" s="3" t="n">
        <v>46286</v>
      </c>
      <c r="C395" s="2" t="s">
        <v>15</v>
      </c>
      <c r="D395" s="2" t="s">
        <v>22</v>
      </c>
      <c r="E395" s="2" t="s">
        <v>28</v>
      </c>
      <c r="F395" s="2" t="s">
        <v>42</v>
      </c>
      <c r="G395" s="2" t="s">
        <v>19</v>
      </c>
      <c r="H395" s="2" t="n">
        <v>0.4</v>
      </c>
      <c r="I395" s="2" t="n">
        <v>14.3</v>
      </c>
      <c r="J395" s="2" t="s">
        <v>20</v>
      </c>
      <c r="K395" s="2"/>
      <c r="L395" s="3" t="n">
        <f aca="false">B395-WEEKDAY(B395,2)+1</f>
        <v>46286</v>
      </c>
      <c r="M395" s="4" t="n">
        <f aca="false">IFERROR(INDEX(02_Parâmetros!$B$14:$B$17,MATCH(C395,02_Parâmetros!$A$14:$A$17,0)),"")</f>
        <v>1</v>
      </c>
      <c r="N395" s="2" t="str">
        <f aca="false">IF(OR(H395="",M395=""),"",IF(H395&lt;=M395,"Sim","Não"))</f>
        <v>Sim</v>
      </c>
    </row>
    <row r="396" customFormat="false" ht="15" hidden="false" customHeight="false" outlineLevel="0" collapsed="false">
      <c r="A396" s="2" t="s">
        <v>433</v>
      </c>
      <c r="B396" s="3" t="n">
        <v>46286</v>
      </c>
      <c r="C396" s="2" t="s">
        <v>44</v>
      </c>
      <c r="D396" s="2" t="s">
        <v>16</v>
      </c>
      <c r="E396" s="2" t="s">
        <v>31</v>
      </c>
      <c r="F396" s="2" t="s">
        <v>42</v>
      </c>
      <c r="G396" s="2" t="s">
        <v>19</v>
      </c>
      <c r="H396" s="2" t="n">
        <v>1.8</v>
      </c>
      <c r="I396" s="2" t="n">
        <v>9.9</v>
      </c>
      <c r="J396" s="2" t="s">
        <v>25</v>
      </c>
      <c r="K396" s="2"/>
      <c r="L396" s="3" t="n">
        <f aca="false">B396-WEEKDAY(B396,2)+1</f>
        <v>46286</v>
      </c>
      <c r="M396" s="4" t="n">
        <f aca="false">IFERROR(INDEX(02_Parâmetros!$B$14:$B$17,MATCH(C396,02_Parâmetros!$A$14:$A$17,0)),"")</f>
        <v>2</v>
      </c>
      <c r="N396" s="2" t="str">
        <f aca="false">IF(OR(H396="",M396=""),"",IF(H396&lt;=M396,"Sim","Não"))</f>
        <v>Sim</v>
      </c>
    </row>
    <row r="397" customFormat="false" ht="15" hidden="false" customHeight="false" outlineLevel="0" collapsed="false">
      <c r="A397" s="2" t="s">
        <v>434</v>
      </c>
      <c r="B397" s="3" t="n">
        <v>46286</v>
      </c>
      <c r="C397" s="2" t="s">
        <v>44</v>
      </c>
      <c r="D397" s="2" t="s">
        <v>16</v>
      </c>
      <c r="E397" s="2" t="s">
        <v>36</v>
      </c>
      <c r="F397" s="2" t="s">
        <v>42</v>
      </c>
      <c r="G397" s="2" t="s">
        <v>19</v>
      </c>
      <c r="H397" s="2"/>
      <c r="I397" s="2" t="n">
        <v>10.8</v>
      </c>
      <c r="J397" s="2" t="s">
        <v>20</v>
      </c>
      <c r="K397" s="2"/>
      <c r="L397" s="3" t="n">
        <f aca="false">B397-WEEKDAY(B397,2)+1</f>
        <v>46286</v>
      </c>
      <c r="M397" s="4" t="n">
        <f aca="false">IFERROR(INDEX(02_Parâmetros!$B$14:$B$17,MATCH(C397,02_Parâmetros!$A$14:$A$17,0)),"")</f>
        <v>2</v>
      </c>
      <c r="N397" s="2" t="str">
        <f aca="false">IF(OR(H397="",M397=""),"",IF(H397&lt;=M397,"Sim","Não"))</f>
        <v/>
      </c>
    </row>
    <row r="398" customFormat="false" ht="15" hidden="false" customHeight="false" outlineLevel="0" collapsed="false">
      <c r="A398" s="2" t="s">
        <v>435</v>
      </c>
      <c r="B398" s="3" t="n">
        <v>46286</v>
      </c>
      <c r="C398" s="2" t="s">
        <v>27</v>
      </c>
      <c r="D398" s="2" t="s">
        <v>22</v>
      </c>
      <c r="E398" s="2" t="s">
        <v>28</v>
      </c>
      <c r="F398" s="2" t="s">
        <v>42</v>
      </c>
      <c r="G398" s="2" t="s">
        <v>19</v>
      </c>
      <c r="H398" s="2" t="n">
        <v>5.3</v>
      </c>
      <c r="I398" s="2" t="n">
        <v>9.8</v>
      </c>
      <c r="J398" s="2" t="s">
        <v>25</v>
      </c>
      <c r="K398" s="2" t="n">
        <v>4</v>
      </c>
      <c r="L398" s="3" t="n">
        <f aca="false">B398-WEEKDAY(B398,2)+1</f>
        <v>46286</v>
      </c>
      <c r="M398" s="4" t="n">
        <f aca="false">IFERROR(INDEX(02_Parâmetros!$B$14:$B$17,MATCH(C398,02_Parâmetros!$A$14:$A$17,0)),"")</f>
        <v>10</v>
      </c>
      <c r="N398" s="2" t="str">
        <f aca="false">IF(OR(H398="",M398=""),"",IF(H398&lt;=M398,"Sim","Não"))</f>
        <v>Sim</v>
      </c>
    </row>
    <row r="399" customFormat="false" ht="15" hidden="false" customHeight="false" outlineLevel="0" collapsed="false">
      <c r="A399" s="2" t="s">
        <v>436</v>
      </c>
      <c r="B399" s="3" t="n">
        <v>46286</v>
      </c>
      <c r="C399" s="2" t="s">
        <v>41</v>
      </c>
      <c r="D399" s="2" t="s">
        <v>38</v>
      </c>
      <c r="E399" s="2" t="s">
        <v>47</v>
      </c>
      <c r="F399" s="2" t="s">
        <v>18</v>
      </c>
      <c r="G399" s="2" t="s">
        <v>19</v>
      </c>
      <c r="H399" s="2" t="n">
        <v>129.5</v>
      </c>
      <c r="I399" s="2" t="n">
        <v>13.5</v>
      </c>
      <c r="J399" s="2" t="s">
        <v>25</v>
      </c>
      <c r="K399" s="2" t="n">
        <v>2</v>
      </c>
      <c r="L399" s="3" t="n">
        <f aca="false">B399-WEEKDAY(B399,2)+1</f>
        <v>46286</v>
      </c>
      <c r="M399" s="4" t="n">
        <f aca="false">IFERROR(INDEX(02_Parâmetros!$B$14:$B$17,MATCH(C399,02_Parâmetros!$A$14:$A$17,0)),"")</f>
        <v>240</v>
      </c>
      <c r="N399" s="2" t="str">
        <f aca="false">IF(OR(H399="",M399=""),"",IF(H399&lt;=M399,"Sim","Não"))</f>
        <v>Sim</v>
      </c>
    </row>
    <row r="400" customFormat="false" ht="15" hidden="false" customHeight="false" outlineLevel="0" collapsed="false">
      <c r="A400" s="2" t="s">
        <v>437</v>
      </c>
      <c r="B400" s="3" t="n">
        <v>46286</v>
      </c>
      <c r="C400" s="2" t="s">
        <v>41</v>
      </c>
      <c r="D400" s="2" t="s">
        <v>38</v>
      </c>
      <c r="E400" s="2" t="s">
        <v>47</v>
      </c>
      <c r="F400" s="2" t="s">
        <v>42</v>
      </c>
      <c r="G400" s="2" t="s">
        <v>19</v>
      </c>
      <c r="H400" s="2" t="n">
        <v>115.7</v>
      </c>
      <c r="I400" s="2" t="n">
        <v>7.6</v>
      </c>
      <c r="J400" s="2" t="s">
        <v>20</v>
      </c>
      <c r="K400" s="2"/>
      <c r="L400" s="3" t="n">
        <f aca="false">B400-WEEKDAY(B400,2)+1</f>
        <v>46286</v>
      </c>
      <c r="M400" s="4" t="n">
        <f aca="false">IFERROR(INDEX(02_Parâmetros!$B$14:$B$17,MATCH(C400,02_Parâmetros!$A$14:$A$17,0)),"")</f>
        <v>240</v>
      </c>
      <c r="N400" s="2" t="str">
        <f aca="false">IF(OR(H400="",M400=""),"",IF(H400&lt;=M400,"Sim","Não"))</f>
        <v>Sim</v>
      </c>
    </row>
    <row r="401" customFormat="false" ht="15" hidden="false" customHeight="false" outlineLevel="0" collapsed="false">
      <c r="A401" s="2" t="s">
        <v>438</v>
      </c>
      <c r="B401" s="3" t="n">
        <v>46286</v>
      </c>
      <c r="C401" s="2" t="s">
        <v>41</v>
      </c>
      <c r="D401" s="2" t="s">
        <v>16</v>
      </c>
      <c r="E401" s="2" t="s">
        <v>17</v>
      </c>
      <c r="F401" s="2" t="s">
        <v>24</v>
      </c>
      <c r="G401" s="2" t="s">
        <v>19</v>
      </c>
      <c r="H401" s="2" t="n">
        <v>84.8</v>
      </c>
      <c r="I401" s="2" t="n">
        <v>9.7</v>
      </c>
      <c r="J401" s="2" t="s">
        <v>20</v>
      </c>
      <c r="K401" s="2"/>
      <c r="L401" s="3" t="n">
        <f aca="false">B401-WEEKDAY(B401,2)+1</f>
        <v>46286</v>
      </c>
      <c r="M401" s="4" t="n">
        <f aca="false">IFERROR(INDEX(02_Parâmetros!$B$14:$B$17,MATCH(C401,02_Parâmetros!$A$14:$A$17,0)),"")</f>
        <v>240</v>
      </c>
      <c r="N401" s="2" t="str">
        <f aca="false">IF(OR(H401="",M401=""),"",IF(H401&lt;=M401,"Sim","Não"))</f>
        <v>Sim</v>
      </c>
    </row>
    <row r="402" customFormat="false" ht="15" hidden="false" customHeight="false" outlineLevel="0" collapsed="false">
      <c r="A402" s="2" t="s">
        <v>439</v>
      </c>
      <c r="B402" s="3" t="n">
        <v>46286</v>
      </c>
      <c r="C402" s="2" t="s">
        <v>41</v>
      </c>
      <c r="D402" s="2" t="s">
        <v>22</v>
      </c>
      <c r="E402" s="2" t="s">
        <v>23</v>
      </c>
      <c r="F402" s="2" t="s">
        <v>32</v>
      </c>
      <c r="G402" s="2" t="s">
        <v>19</v>
      </c>
      <c r="H402" s="2" t="n">
        <v>392</v>
      </c>
      <c r="I402" s="2" t="n">
        <v>7.7</v>
      </c>
      <c r="J402" s="2" t="s">
        <v>20</v>
      </c>
      <c r="K402" s="2" t="n">
        <v>5</v>
      </c>
      <c r="L402" s="3" t="n">
        <f aca="false">B402-WEEKDAY(B402,2)+1</f>
        <v>46286</v>
      </c>
      <c r="M402" s="4" t="n">
        <f aca="false">IFERROR(INDEX(02_Parâmetros!$B$14:$B$17,MATCH(C402,02_Parâmetros!$A$14:$A$17,0)),"")</f>
        <v>240</v>
      </c>
      <c r="N402" s="2" t="str">
        <f aca="false">IF(OR(H402="",M402=""),"",IF(H402&lt;=M402,"Sim","Não"))</f>
        <v>Não</v>
      </c>
    </row>
    <row r="403" customFormat="false" ht="15" hidden="false" customHeight="false" outlineLevel="0" collapsed="false">
      <c r="A403" s="2" t="s">
        <v>440</v>
      </c>
      <c r="B403" s="3" t="n">
        <v>46286</v>
      </c>
      <c r="C403" s="2" t="s">
        <v>41</v>
      </c>
      <c r="D403" s="2" t="s">
        <v>22</v>
      </c>
      <c r="E403" s="2" t="s">
        <v>23</v>
      </c>
      <c r="F403" s="2" t="s">
        <v>42</v>
      </c>
      <c r="G403" s="2" t="s">
        <v>19</v>
      </c>
      <c r="H403" s="2" t="n">
        <v>553.3</v>
      </c>
      <c r="I403" s="2" t="n">
        <v>14.6</v>
      </c>
      <c r="J403" s="2" t="s">
        <v>25</v>
      </c>
      <c r="K403" s="2" t="n">
        <v>5</v>
      </c>
      <c r="L403" s="3" t="n">
        <f aca="false">B403-WEEKDAY(B403,2)+1</f>
        <v>46286</v>
      </c>
      <c r="M403" s="4" t="n">
        <f aca="false">IFERROR(INDEX(02_Parâmetros!$B$14:$B$17,MATCH(C403,02_Parâmetros!$A$14:$A$17,0)),"")</f>
        <v>240</v>
      </c>
      <c r="N403" s="2" t="str">
        <f aca="false">IF(OR(H403="",M403=""),"",IF(H403&lt;=M403,"Sim","Não"))</f>
        <v>Não</v>
      </c>
    </row>
    <row r="404" customFormat="false" ht="15" hidden="false" customHeight="false" outlineLevel="0" collapsed="false">
      <c r="A404" s="2" t="s">
        <v>441</v>
      </c>
      <c r="B404" s="3" t="n">
        <v>46286</v>
      </c>
      <c r="C404" s="2" t="s">
        <v>27</v>
      </c>
      <c r="D404" s="2" t="s">
        <v>38</v>
      </c>
      <c r="E404" s="2" t="s">
        <v>39</v>
      </c>
      <c r="F404" s="2" t="s">
        <v>70</v>
      </c>
      <c r="G404" s="2" t="s">
        <v>19</v>
      </c>
      <c r="H404" s="2" t="n">
        <v>4.6</v>
      </c>
      <c r="I404" s="2" t="n">
        <v>12.3</v>
      </c>
      <c r="J404" s="2" t="s">
        <v>25</v>
      </c>
      <c r="K404" s="2"/>
      <c r="L404" s="3" t="n">
        <f aca="false">B404-WEEKDAY(B404,2)+1</f>
        <v>46286</v>
      </c>
      <c r="M404" s="4" t="n">
        <f aca="false">IFERROR(INDEX(02_Parâmetros!$B$14:$B$17,MATCH(C404,02_Parâmetros!$A$14:$A$17,0)),"")</f>
        <v>10</v>
      </c>
      <c r="N404" s="2" t="str">
        <f aca="false">IF(OR(H404="",M404=""),"",IF(H404&lt;=M404,"Sim","Não"))</f>
        <v>Sim</v>
      </c>
    </row>
    <row r="405" customFormat="false" ht="15" hidden="false" customHeight="false" outlineLevel="0" collapsed="false">
      <c r="A405" s="2" t="s">
        <v>442</v>
      </c>
      <c r="B405" s="3" t="n">
        <v>46286</v>
      </c>
      <c r="C405" s="2" t="s">
        <v>27</v>
      </c>
      <c r="D405" s="2" t="s">
        <v>16</v>
      </c>
      <c r="E405" s="2" t="s">
        <v>36</v>
      </c>
      <c r="F405" s="2" t="s">
        <v>18</v>
      </c>
      <c r="G405" s="2" t="s">
        <v>19</v>
      </c>
      <c r="H405" s="2" t="n">
        <v>6.4</v>
      </c>
      <c r="I405" s="2" t="n">
        <v>10.4</v>
      </c>
      <c r="J405" s="2" t="s">
        <v>20</v>
      </c>
      <c r="K405" s="2"/>
      <c r="L405" s="3" t="n">
        <f aca="false">B405-WEEKDAY(B405,2)+1</f>
        <v>46286</v>
      </c>
      <c r="M405" s="4" t="n">
        <f aca="false">IFERROR(INDEX(02_Parâmetros!$B$14:$B$17,MATCH(C405,02_Parâmetros!$A$14:$A$17,0)),"")</f>
        <v>10</v>
      </c>
      <c r="N405" s="2" t="str">
        <f aca="false">IF(OR(H405="",M405=""),"",IF(H405&lt;=M405,"Sim","Não"))</f>
        <v>Sim</v>
      </c>
    </row>
    <row r="406" customFormat="false" ht="15" hidden="false" customHeight="false" outlineLevel="0" collapsed="false">
      <c r="A406" s="2" t="s">
        <v>443</v>
      </c>
      <c r="B406" s="3" t="n">
        <v>46286</v>
      </c>
      <c r="C406" s="2" t="s">
        <v>41</v>
      </c>
      <c r="D406" s="2" t="s">
        <v>16</v>
      </c>
      <c r="E406" s="2" t="s">
        <v>17</v>
      </c>
      <c r="F406" s="2" t="s">
        <v>32</v>
      </c>
      <c r="G406" s="2" t="s">
        <v>19</v>
      </c>
      <c r="H406" s="2" t="n">
        <v>565.8</v>
      </c>
      <c r="I406" s="2" t="n">
        <v>7.2</v>
      </c>
      <c r="J406" s="2" t="s">
        <v>20</v>
      </c>
      <c r="K406" s="2"/>
      <c r="L406" s="3" t="n">
        <f aca="false">B406-WEEKDAY(B406,2)+1</f>
        <v>46286</v>
      </c>
      <c r="M406" s="4" t="n">
        <f aca="false">IFERROR(INDEX(02_Parâmetros!$B$14:$B$17,MATCH(C406,02_Parâmetros!$A$14:$A$17,0)),"")</f>
        <v>240</v>
      </c>
      <c r="N406" s="2" t="str">
        <f aca="false">IF(OR(H406="",M406=""),"",IF(H406&lt;=M406,"Sim","Não"))</f>
        <v>Não</v>
      </c>
    </row>
    <row r="407" customFormat="false" ht="15" hidden="false" customHeight="false" outlineLevel="0" collapsed="false">
      <c r="A407" s="2" t="s">
        <v>444</v>
      </c>
      <c r="B407" s="3" t="n">
        <v>46286</v>
      </c>
      <c r="C407" s="2" t="s">
        <v>44</v>
      </c>
      <c r="D407" s="2" t="s">
        <v>16</v>
      </c>
      <c r="E407" s="2" t="s">
        <v>36</v>
      </c>
      <c r="F407" s="2" t="s">
        <v>32</v>
      </c>
      <c r="G407" s="2" t="s">
        <v>19</v>
      </c>
      <c r="H407" s="2" t="n">
        <v>1.7</v>
      </c>
      <c r="I407" s="2" t="n">
        <v>7.4</v>
      </c>
      <c r="J407" s="2" t="s">
        <v>20</v>
      </c>
      <c r="K407" s="2" t="n">
        <v>5</v>
      </c>
      <c r="L407" s="3" t="n">
        <f aca="false">B407-WEEKDAY(B407,2)+1</f>
        <v>46286</v>
      </c>
      <c r="M407" s="4" t="n">
        <f aca="false">IFERROR(INDEX(02_Parâmetros!$B$14:$B$17,MATCH(C407,02_Parâmetros!$A$14:$A$17,0)),"")</f>
        <v>2</v>
      </c>
      <c r="N407" s="2" t="str">
        <f aca="false">IF(OR(H407="",M407=""),"",IF(H407&lt;=M407,"Sim","Não"))</f>
        <v>Sim</v>
      </c>
    </row>
    <row r="408" customFormat="false" ht="15" hidden="false" customHeight="false" outlineLevel="0" collapsed="false">
      <c r="A408" s="2" t="s">
        <v>445</v>
      </c>
      <c r="B408" s="3" t="n">
        <v>46286</v>
      </c>
      <c r="C408" s="2" t="s">
        <v>41</v>
      </c>
      <c r="D408" s="2" t="s">
        <v>16</v>
      </c>
      <c r="E408" s="2" t="s">
        <v>17</v>
      </c>
      <c r="F408" s="2" t="s">
        <v>18</v>
      </c>
      <c r="G408" s="2" t="s">
        <v>19</v>
      </c>
      <c r="H408" s="2" t="n">
        <v>126.5</v>
      </c>
      <c r="I408" s="2" t="n">
        <v>11.7</v>
      </c>
      <c r="J408" s="2" t="s">
        <v>20</v>
      </c>
      <c r="K408" s="2" t="n">
        <v>5</v>
      </c>
      <c r="L408" s="3" t="n">
        <f aca="false">B408-WEEKDAY(B408,2)+1</f>
        <v>46286</v>
      </c>
      <c r="M408" s="4" t="n">
        <f aca="false">IFERROR(INDEX(02_Parâmetros!$B$14:$B$17,MATCH(C408,02_Parâmetros!$A$14:$A$17,0)),"")</f>
        <v>240</v>
      </c>
      <c r="N408" s="2" t="str">
        <f aca="false">IF(OR(H408="",M408=""),"",IF(H408&lt;=M408,"Sim","Não"))</f>
        <v>Sim</v>
      </c>
    </row>
    <row r="409" customFormat="false" ht="15" hidden="false" customHeight="false" outlineLevel="0" collapsed="false">
      <c r="A409" s="2" t="s">
        <v>446</v>
      </c>
      <c r="B409" s="3" t="n">
        <v>46286</v>
      </c>
      <c r="C409" s="2" t="s">
        <v>41</v>
      </c>
      <c r="D409" s="2" t="s">
        <v>22</v>
      </c>
      <c r="E409" s="2" t="s">
        <v>28</v>
      </c>
      <c r="F409" s="2" t="s">
        <v>18</v>
      </c>
      <c r="G409" s="2" t="s">
        <v>19</v>
      </c>
      <c r="H409" s="2" t="n">
        <v>573.7</v>
      </c>
      <c r="I409" s="2" t="n">
        <v>15.7</v>
      </c>
      <c r="J409" s="2" t="s">
        <v>25</v>
      </c>
      <c r="K409" s="2" t="n">
        <v>4</v>
      </c>
      <c r="L409" s="3" t="n">
        <f aca="false">B409-WEEKDAY(B409,2)+1</f>
        <v>46286</v>
      </c>
      <c r="M409" s="4" t="n">
        <f aca="false">IFERROR(INDEX(02_Parâmetros!$B$14:$B$17,MATCH(C409,02_Parâmetros!$A$14:$A$17,0)),"")</f>
        <v>240</v>
      </c>
      <c r="N409" s="2" t="str">
        <f aca="false">IF(OR(H409="",M409=""),"",IF(H409&lt;=M409,"Sim","Não"))</f>
        <v>Não</v>
      </c>
    </row>
    <row r="410" customFormat="false" ht="15" hidden="false" customHeight="false" outlineLevel="0" collapsed="false">
      <c r="A410" s="2" t="s">
        <v>447</v>
      </c>
      <c r="B410" s="3" t="n">
        <v>46287</v>
      </c>
      <c r="C410" s="2" t="s">
        <v>27</v>
      </c>
      <c r="D410" s="2" t="s">
        <v>16</v>
      </c>
      <c r="E410" s="2" t="s">
        <v>17</v>
      </c>
      <c r="F410" s="2" t="s">
        <v>70</v>
      </c>
      <c r="G410" s="2" t="s">
        <v>19</v>
      </c>
      <c r="H410" s="2" t="n">
        <v>4.4</v>
      </c>
      <c r="I410" s="2" t="n">
        <v>6.4</v>
      </c>
      <c r="J410" s="2" t="s">
        <v>20</v>
      </c>
      <c r="K410" s="2"/>
      <c r="L410" s="3" t="n">
        <f aca="false">B410-WEEKDAY(B410,2)+1</f>
        <v>46286</v>
      </c>
      <c r="M410" s="4" t="n">
        <f aca="false">IFERROR(INDEX(02_Parâmetros!$B$14:$B$17,MATCH(C410,02_Parâmetros!$A$14:$A$17,0)),"")</f>
        <v>10</v>
      </c>
      <c r="N410" s="2" t="str">
        <f aca="false">IF(OR(H410="",M410=""),"",IF(H410&lt;=M410,"Sim","Não"))</f>
        <v>Sim</v>
      </c>
    </row>
    <row r="411" customFormat="false" ht="15" hidden="false" customHeight="false" outlineLevel="0" collapsed="false">
      <c r="A411" s="2" t="s">
        <v>448</v>
      </c>
      <c r="B411" s="3" t="n">
        <v>46287</v>
      </c>
      <c r="C411" s="2" t="s">
        <v>27</v>
      </c>
      <c r="D411" s="2" t="s">
        <v>38</v>
      </c>
      <c r="E411" s="2" t="s">
        <v>39</v>
      </c>
      <c r="F411" s="2" t="s">
        <v>32</v>
      </c>
      <c r="G411" s="2" t="s">
        <v>19</v>
      </c>
      <c r="H411" s="2" t="n">
        <v>2.9</v>
      </c>
      <c r="I411" s="2" t="n">
        <v>6</v>
      </c>
      <c r="J411" s="2" t="s">
        <v>20</v>
      </c>
      <c r="K411" s="2"/>
      <c r="L411" s="3" t="n">
        <f aca="false">B411-WEEKDAY(B411,2)+1</f>
        <v>46286</v>
      </c>
      <c r="M411" s="4" t="n">
        <f aca="false">IFERROR(INDEX(02_Parâmetros!$B$14:$B$17,MATCH(C411,02_Parâmetros!$A$14:$A$17,0)),"")</f>
        <v>10</v>
      </c>
      <c r="N411" s="2" t="str">
        <f aca="false">IF(OR(H411="",M411=""),"",IF(H411&lt;=M411,"Sim","Não"))</f>
        <v>Sim</v>
      </c>
    </row>
    <row r="412" customFormat="false" ht="15" hidden="false" customHeight="false" outlineLevel="0" collapsed="false">
      <c r="A412" s="2" t="s">
        <v>449</v>
      </c>
      <c r="B412" s="3" t="n">
        <v>46287</v>
      </c>
      <c r="C412" s="2" t="s">
        <v>27</v>
      </c>
      <c r="D412" s="2" t="s">
        <v>16</v>
      </c>
      <c r="E412" s="2" t="s">
        <v>31</v>
      </c>
      <c r="F412" s="2" t="s">
        <v>24</v>
      </c>
      <c r="G412" s="2" t="s">
        <v>19</v>
      </c>
      <c r="H412" s="2" t="n">
        <v>3.3</v>
      </c>
      <c r="I412" s="2" t="n">
        <v>8.8</v>
      </c>
      <c r="J412" s="2" t="s">
        <v>25</v>
      </c>
      <c r="K412" s="2"/>
      <c r="L412" s="3" t="n">
        <f aca="false">B412-WEEKDAY(B412,2)+1</f>
        <v>46286</v>
      </c>
      <c r="M412" s="4" t="n">
        <f aca="false">IFERROR(INDEX(02_Parâmetros!$B$14:$B$17,MATCH(C412,02_Parâmetros!$A$14:$A$17,0)),"")</f>
        <v>10</v>
      </c>
      <c r="N412" s="2" t="str">
        <f aca="false">IF(OR(H412="",M412=""),"",IF(H412&lt;=M412,"Sim","Não"))</f>
        <v>Sim</v>
      </c>
    </row>
    <row r="413" customFormat="false" ht="15" hidden="false" customHeight="false" outlineLevel="0" collapsed="false">
      <c r="A413" s="2" t="s">
        <v>450</v>
      </c>
      <c r="B413" s="3" t="n">
        <v>46287</v>
      </c>
      <c r="C413" s="2" t="s">
        <v>27</v>
      </c>
      <c r="D413" s="2" t="s">
        <v>38</v>
      </c>
      <c r="E413" s="2" t="s">
        <v>39</v>
      </c>
      <c r="F413" s="2" t="s">
        <v>24</v>
      </c>
      <c r="G413" s="2" t="s">
        <v>19</v>
      </c>
      <c r="H413" s="2" t="n">
        <v>2.8</v>
      </c>
      <c r="I413" s="2" t="n">
        <v>12.3</v>
      </c>
      <c r="J413" s="2" t="s">
        <v>25</v>
      </c>
      <c r="K413" s="2"/>
      <c r="L413" s="3" t="n">
        <f aca="false">B413-WEEKDAY(B413,2)+1</f>
        <v>46286</v>
      </c>
      <c r="M413" s="4" t="n">
        <f aca="false">IFERROR(INDEX(02_Parâmetros!$B$14:$B$17,MATCH(C413,02_Parâmetros!$A$14:$A$17,0)),"")</f>
        <v>10</v>
      </c>
      <c r="N413" s="2" t="str">
        <f aca="false">IF(OR(H413="",M413=""),"",IF(H413&lt;=M413,"Sim","Não"))</f>
        <v>Sim</v>
      </c>
    </row>
    <row r="414" customFormat="false" ht="15" hidden="false" customHeight="false" outlineLevel="0" collapsed="false">
      <c r="A414" s="2" t="s">
        <v>451</v>
      </c>
      <c r="B414" s="3" t="n">
        <v>46287</v>
      </c>
      <c r="C414" s="2" t="s">
        <v>41</v>
      </c>
      <c r="D414" s="2" t="s">
        <v>22</v>
      </c>
      <c r="E414" s="2" t="s">
        <v>23</v>
      </c>
      <c r="F414" s="2" t="s">
        <v>42</v>
      </c>
      <c r="G414" s="2" t="s">
        <v>19</v>
      </c>
      <c r="H414" s="2" t="n">
        <v>120</v>
      </c>
      <c r="I414" s="2" t="n">
        <v>7.4</v>
      </c>
      <c r="J414" s="2" t="s">
        <v>20</v>
      </c>
      <c r="K414" s="2"/>
      <c r="L414" s="3" t="n">
        <f aca="false">B414-WEEKDAY(B414,2)+1</f>
        <v>46286</v>
      </c>
      <c r="M414" s="4" t="n">
        <f aca="false">IFERROR(INDEX(02_Parâmetros!$B$14:$B$17,MATCH(C414,02_Parâmetros!$A$14:$A$17,0)),"")</f>
        <v>240</v>
      </c>
      <c r="N414" s="2" t="str">
        <f aca="false">IF(OR(H414="",M414=""),"",IF(H414&lt;=M414,"Sim","Não"))</f>
        <v>Sim</v>
      </c>
    </row>
    <row r="415" customFormat="false" ht="15" hidden="false" customHeight="false" outlineLevel="0" collapsed="false">
      <c r="A415" s="2" t="s">
        <v>452</v>
      </c>
      <c r="B415" s="3" t="n">
        <v>46287</v>
      </c>
      <c r="C415" s="2" t="s">
        <v>41</v>
      </c>
      <c r="D415" s="2" t="s">
        <v>16</v>
      </c>
      <c r="E415" s="2" t="s">
        <v>36</v>
      </c>
      <c r="F415" s="2" t="s">
        <v>18</v>
      </c>
      <c r="G415" s="2" t="s">
        <v>19</v>
      </c>
      <c r="H415" s="2" t="n">
        <v>209.4</v>
      </c>
      <c r="I415" s="2" t="n">
        <v>15.7</v>
      </c>
      <c r="J415" s="2" t="s">
        <v>20</v>
      </c>
      <c r="K415" s="2" t="n">
        <v>4</v>
      </c>
      <c r="L415" s="3" t="n">
        <f aca="false">B415-WEEKDAY(B415,2)+1</f>
        <v>46286</v>
      </c>
      <c r="M415" s="4" t="n">
        <f aca="false">IFERROR(INDEX(02_Parâmetros!$B$14:$B$17,MATCH(C415,02_Parâmetros!$A$14:$A$17,0)),"")</f>
        <v>240</v>
      </c>
      <c r="N415" s="2" t="str">
        <f aca="false">IF(OR(H415="",M415=""),"",IF(H415&lt;=M415,"Sim","Não"))</f>
        <v>Sim</v>
      </c>
    </row>
    <row r="416" customFormat="false" ht="15" hidden="false" customHeight="false" outlineLevel="0" collapsed="false">
      <c r="A416" s="2" t="s">
        <v>453</v>
      </c>
      <c r="B416" s="3" t="n">
        <v>46287</v>
      </c>
      <c r="C416" s="2" t="s">
        <v>15</v>
      </c>
      <c r="D416" s="2" t="s">
        <v>22</v>
      </c>
      <c r="E416" s="2" t="s">
        <v>23</v>
      </c>
      <c r="F416" s="2" t="s">
        <v>18</v>
      </c>
      <c r="G416" s="2" t="s">
        <v>19</v>
      </c>
      <c r="H416" s="2" t="n">
        <v>0.5</v>
      </c>
      <c r="I416" s="2" t="n">
        <v>16.2</v>
      </c>
      <c r="J416" s="2" t="s">
        <v>20</v>
      </c>
      <c r="K416" s="2" t="n">
        <v>5</v>
      </c>
      <c r="L416" s="3" t="n">
        <f aca="false">B416-WEEKDAY(B416,2)+1</f>
        <v>46286</v>
      </c>
      <c r="M416" s="4" t="n">
        <f aca="false">IFERROR(INDEX(02_Parâmetros!$B$14:$B$17,MATCH(C416,02_Parâmetros!$A$14:$A$17,0)),"")</f>
        <v>1</v>
      </c>
      <c r="N416" s="2" t="str">
        <f aca="false">IF(OR(H416="",M416=""),"",IF(H416&lt;=M416,"Sim","Não"))</f>
        <v>Sim</v>
      </c>
    </row>
    <row r="417" customFormat="false" ht="15" hidden="false" customHeight="false" outlineLevel="0" collapsed="false">
      <c r="A417" s="2" t="s">
        <v>454</v>
      </c>
      <c r="B417" s="3" t="n">
        <v>46287</v>
      </c>
      <c r="C417" s="2" t="s">
        <v>41</v>
      </c>
      <c r="D417" s="2" t="s">
        <v>22</v>
      </c>
      <c r="E417" s="2" t="s">
        <v>28</v>
      </c>
      <c r="F417" s="2" t="s">
        <v>34</v>
      </c>
      <c r="G417" s="2" t="s">
        <v>19</v>
      </c>
      <c r="H417" s="2" t="n">
        <v>568.4</v>
      </c>
      <c r="I417" s="2" t="n">
        <v>7.4</v>
      </c>
      <c r="J417" s="2" t="s">
        <v>20</v>
      </c>
      <c r="K417" s="2"/>
      <c r="L417" s="3" t="n">
        <f aca="false">B417-WEEKDAY(B417,2)+1</f>
        <v>46286</v>
      </c>
      <c r="M417" s="4" t="n">
        <f aca="false">IFERROR(INDEX(02_Parâmetros!$B$14:$B$17,MATCH(C417,02_Parâmetros!$A$14:$A$17,0)),"")</f>
        <v>240</v>
      </c>
      <c r="N417" s="2" t="str">
        <f aca="false">IF(OR(H417="",M417=""),"",IF(H417&lt;=M417,"Sim","Não"))</f>
        <v>Não</v>
      </c>
    </row>
    <row r="418" customFormat="false" ht="15" hidden="false" customHeight="false" outlineLevel="0" collapsed="false">
      <c r="A418" s="2" t="s">
        <v>455</v>
      </c>
      <c r="B418" s="3" t="n">
        <v>46287</v>
      </c>
      <c r="C418" s="2" t="s">
        <v>27</v>
      </c>
      <c r="D418" s="2" t="s">
        <v>16</v>
      </c>
      <c r="E418" s="2" t="s">
        <v>17</v>
      </c>
      <c r="F418" s="2" t="s">
        <v>32</v>
      </c>
      <c r="G418" s="2" t="s">
        <v>19</v>
      </c>
      <c r="H418" s="2" t="n">
        <v>8.9</v>
      </c>
      <c r="I418" s="2" t="n">
        <v>6.7</v>
      </c>
      <c r="J418" s="2" t="s">
        <v>20</v>
      </c>
      <c r="K418" s="2"/>
      <c r="L418" s="3" t="n">
        <f aca="false">B418-WEEKDAY(B418,2)+1</f>
        <v>46286</v>
      </c>
      <c r="M418" s="4" t="n">
        <f aca="false">IFERROR(INDEX(02_Parâmetros!$B$14:$B$17,MATCH(C418,02_Parâmetros!$A$14:$A$17,0)),"")</f>
        <v>10</v>
      </c>
      <c r="N418" s="2" t="str">
        <f aca="false">IF(OR(H418="",M418=""),"",IF(H418&lt;=M418,"Sim","Não"))</f>
        <v>Sim</v>
      </c>
    </row>
    <row r="419" customFormat="false" ht="15" hidden="false" customHeight="false" outlineLevel="0" collapsed="false">
      <c r="A419" s="2" t="s">
        <v>456</v>
      </c>
      <c r="B419" s="3" t="n">
        <v>46287</v>
      </c>
      <c r="C419" s="2" t="s">
        <v>41</v>
      </c>
      <c r="D419" s="2" t="s">
        <v>38</v>
      </c>
      <c r="E419" s="2" t="s">
        <v>56</v>
      </c>
      <c r="F419" s="2" t="s">
        <v>24</v>
      </c>
      <c r="G419" s="2" t="s">
        <v>19</v>
      </c>
      <c r="H419" s="2" t="n">
        <v>139.1</v>
      </c>
      <c r="I419" s="2" t="n">
        <v>11.9</v>
      </c>
      <c r="J419" s="2" t="s">
        <v>25</v>
      </c>
      <c r="K419" s="2"/>
      <c r="L419" s="3" t="n">
        <f aca="false">B419-WEEKDAY(B419,2)+1</f>
        <v>46286</v>
      </c>
      <c r="M419" s="4" t="n">
        <f aca="false">IFERROR(INDEX(02_Parâmetros!$B$14:$B$17,MATCH(C419,02_Parâmetros!$A$14:$A$17,0)),"")</f>
        <v>240</v>
      </c>
      <c r="N419" s="2" t="str">
        <f aca="false">IF(OR(H419="",M419=""),"",IF(H419&lt;=M419,"Sim","Não"))</f>
        <v>Sim</v>
      </c>
    </row>
    <row r="420" customFormat="false" ht="15" hidden="false" customHeight="false" outlineLevel="0" collapsed="false">
      <c r="A420" s="2" t="s">
        <v>457</v>
      </c>
      <c r="B420" s="3" t="n">
        <v>46287</v>
      </c>
      <c r="C420" s="2" t="s">
        <v>27</v>
      </c>
      <c r="D420" s="2" t="s">
        <v>16</v>
      </c>
      <c r="E420" s="2" t="s">
        <v>31</v>
      </c>
      <c r="F420" s="2" t="s">
        <v>70</v>
      </c>
      <c r="G420" s="2" t="s">
        <v>19</v>
      </c>
      <c r="H420" s="2" t="n">
        <v>2.9</v>
      </c>
      <c r="I420" s="2" t="n">
        <v>7.1</v>
      </c>
      <c r="J420" s="2" t="s">
        <v>20</v>
      </c>
      <c r="K420" s="2"/>
      <c r="L420" s="3" t="n">
        <f aca="false">B420-WEEKDAY(B420,2)+1</f>
        <v>46286</v>
      </c>
      <c r="M420" s="4" t="n">
        <f aca="false">IFERROR(INDEX(02_Parâmetros!$B$14:$B$17,MATCH(C420,02_Parâmetros!$A$14:$A$17,0)),"")</f>
        <v>10</v>
      </c>
      <c r="N420" s="2" t="str">
        <f aca="false">IF(OR(H420="",M420=""),"",IF(H420&lt;=M420,"Sim","Não"))</f>
        <v>Sim</v>
      </c>
    </row>
    <row r="421" customFormat="false" ht="15" hidden="false" customHeight="false" outlineLevel="0" collapsed="false">
      <c r="A421" s="2" t="s">
        <v>458</v>
      </c>
      <c r="B421" s="3" t="n">
        <v>46287</v>
      </c>
      <c r="C421" s="2" t="s">
        <v>41</v>
      </c>
      <c r="D421" s="2" t="s">
        <v>38</v>
      </c>
      <c r="E421" s="2" t="s">
        <v>56</v>
      </c>
      <c r="F421" s="2" t="s">
        <v>18</v>
      </c>
      <c r="G421" s="2" t="s">
        <v>19</v>
      </c>
      <c r="H421" s="2" t="n">
        <v>107.1</v>
      </c>
      <c r="I421" s="2" t="n">
        <v>10.9</v>
      </c>
      <c r="J421" s="2" t="s">
        <v>20</v>
      </c>
      <c r="K421" s="2"/>
      <c r="L421" s="3" t="n">
        <f aca="false">B421-WEEKDAY(B421,2)+1</f>
        <v>46286</v>
      </c>
      <c r="M421" s="4" t="n">
        <f aca="false">IFERROR(INDEX(02_Parâmetros!$B$14:$B$17,MATCH(C421,02_Parâmetros!$A$14:$A$17,0)),"")</f>
        <v>240</v>
      </c>
      <c r="N421" s="2" t="str">
        <f aca="false">IF(OR(H421="",M421=""),"",IF(H421&lt;=M421,"Sim","Não"))</f>
        <v>Sim</v>
      </c>
    </row>
    <row r="422" customFormat="false" ht="15" hidden="false" customHeight="false" outlineLevel="0" collapsed="false">
      <c r="A422" s="2" t="s">
        <v>459</v>
      </c>
      <c r="B422" s="3" t="n">
        <v>46287</v>
      </c>
      <c r="C422" s="2" t="s">
        <v>41</v>
      </c>
      <c r="D422" s="2" t="s">
        <v>38</v>
      </c>
      <c r="E422" s="2" t="s">
        <v>47</v>
      </c>
      <c r="F422" s="2" t="s">
        <v>70</v>
      </c>
      <c r="G422" s="2" t="s">
        <v>19</v>
      </c>
      <c r="H422" s="2" t="n">
        <v>204.3</v>
      </c>
      <c r="I422" s="2" t="n">
        <v>9.9</v>
      </c>
      <c r="J422" s="2" t="s">
        <v>20</v>
      </c>
      <c r="K422" s="2" t="n">
        <v>5</v>
      </c>
      <c r="L422" s="3" t="n">
        <f aca="false">B422-WEEKDAY(B422,2)+1</f>
        <v>46286</v>
      </c>
      <c r="M422" s="4" t="n">
        <f aca="false">IFERROR(INDEX(02_Parâmetros!$B$14:$B$17,MATCH(C422,02_Parâmetros!$A$14:$A$17,0)),"")</f>
        <v>240</v>
      </c>
      <c r="N422" s="2" t="str">
        <f aca="false">IF(OR(H422="",M422=""),"",IF(H422&lt;=M422,"Sim","Não"))</f>
        <v>Sim</v>
      </c>
    </row>
    <row r="423" customFormat="false" ht="15" hidden="false" customHeight="false" outlineLevel="0" collapsed="false">
      <c r="A423" s="2" t="s">
        <v>460</v>
      </c>
      <c r="B423" s="3" t="n">
        <v>46287</v>
      </c>
      <c r="C423" s="2" t="s">
        <v>27</v>
      </c>
      <c r="D423" s="2" t="s">
        <v>16</v>
      </c>
      <c r="E423" s="2" t="s">
        <v>36</v>
      </c>
      <c r="F423" s="2" t="s">
        <v>34</v>
      </c>
      <c r="G423" s="2" t="s">
        <v>19</v>
      </c>
      <c r="H423" s="2" t="n">
        <v>6.5</v>
      </c>
      <c r="I423" s="2" t="n">
        <v>5.9</v>
      </c>
      <c r="J423" s="2" t="s">
        <v>20</v>
      </c>
      <c r="K423" s="2" t="n">
        <v>4</v>
      </c>
      <c r="L423" s="3" t="n">
        <f aca="false">B423-WEEKDAY(B423,2)+1</f>
        <v>46286</v>
      </c>
      <c r="M423" s="4" t="n">
        <f aca="false">IFERROR(INDEX(02_Parâmetros!$B$14:$B$17,MATCH(C423,02_Parâmetros!$A$14:$A$17,0)),"")</f>
        <v>10</v>
      </c>
      <c r="N423" s="2" t="str">
        <f aca="false">IF(OR(H423="",M423=""),"",IF(H423&lt;=M423,"Sim","Não"))</f>
        <v>Sim</v>
      </c>
    </row>
    <row r="424" customFormat="false" ht="15" hidden="false" customHeight="false" outlineLevel="0" collapsed="false">
      <c r="A424" s="2" t="s">
        <v>461</v>
      </c>
      <c r="B424" s="3" t="n">
        <v>46287</v>
      </c>
      <c r="C424" s="2" t="s">
        <v>15</v>
      </c>
      <c r="D424" s="2" t="s">
        <v>38</v>
      </c>
      <c r="E424" s="2" t="s">
        <v>56</v>
      </c>
      <c r="F424" s="2" t="s">
        <v>24</v>
      </c>
      <c r="G424" s="2" t="s">
        <v>19</v>
      </c>
      <c r="H424" s="2"/>
      <c r="I424" s="2" t="n">
        <v>11.6</v>
      </c>
      <c r="J424" s="2" t="s">
        <v>20</v>
      </c>
      <c r="K424" s="2"/>
      <c r="L424" s="3" t="n">
        <f aca="false">B424-WEEKDAY(B424,2)+1</f>
        <v>46286</v>
      </c>
      <c r="M424" s="4" t="n">
        <f aca="false">IFERROR(INDEX(02_Parâmetros!$B$14:$B$17,MATCH(C424,02_Parâmetros!$A$14:$A$17,0)),"")</f>
        <v>1</v>
      </c>
      <c r="N424" s="2" t="str">
        <f aca="false">IF(OR(H424="",M424=""),"",IF(H424&lt;=M424,"Sim","Não"))</f>
        <v/>
      </c>
    </row>
    <row r="425" customFormat="false" ht="15" hidden="false" customHeight="false" outlineLevel="0" collapsed="false">
      <c r="A425" s="2" t="s">
        <v>462</v>
      </c>
      <c r="B425" s="3" t="n">
        <v>46287</v>
      </c>
      <c r="C425" s="2" t="s">
        <v>44</v>
      </c>
      <c r="D425" s="2" t="s">
        <v>16</v>
      </c>
      <c r="E425" s="2" t="s">
        <v>17</v>
      </c>
      <c r="F425" s="2" t="s">
        <v>18</v>
      </c>
      <c r="G425" s="2" t="s">
        <v>19</v>
      </c>
      <c r="H425" s="2" t="n">
        <v>4.1</v>
      </c>
      <c r="I425" s="2" t="n">
        <v>9.8</v>
      </c>
      <c r="J425" s="2" t="s">
        <v>20</v>
      </c>
      <c r="K425" s="2"/>
      <c r="L425" s="3" t="n">
        <f aca="false">B425-WEEKDAY(B425,2)+1</f>
        <v>46286</v>
      </c>
      <c r="M425" s="4" t="n">
        <f aca="false">IFERROR(INDEX(02_Parâmetros!$B$14:$B$17,MATCH(C425,02_Parâmetros!$A$14:$A$17,0)),"")</f>
        <v>2</v>
      </c>
      <c r="N425" s="2" t="str">
        <f aca="false">IF(OR(H425="",M425=""),"",IF(H425&lt;=M425,"Sim","Não"))</f>
        <v>Não</v>
      </c>
    </row>
    <row r="426" customFormat="false" ht="15" hidden="false" customHeight="false" outlineLevel="0" collapsed="false">
      <c r="A426" s="2" t="s">
        <v>463</v>
      </c>
      <c r="B426" s="3" t="n">
        <v>46287</v>
      </c>
      <c r="C426" s="2" t="s">
        <v>44</v>
      </c>
      <c r="D426" s="2" t="s">
        <v>38</v>
      </c>
      <c r="E426" s="2" t="s">
        <v>47</v>
      </c>
      <c r="F426" s="2" t="s">
        <v>18</v>
      </c>
      <c r="G426" s="2" t="s">
        <v>19</v>
      </c>
      <c r="H426" s="2" t="n">
        <v>0.6</v>
      </c>
      <c r="I426" s="2" t="n">
        <v>11.3</v>
      </c>
      <c r="J426" s="2" t="s">
        <v>25</v>
      </c>
      <c r="K426" s="2" t="n">
        <v>3</v>
      </c>
      <c r="L426" s="3" t="n">
        <f aca="false">B426-WEEKDAY(B426,2)+1</f>
        <v>46286</v>
      </c>
      <c r="M426" s="4" t="n">
        <f aca="false">IFERROR(INDEX(02_Parâmetros!$B$14:$B$17,MATCH(C426,02_Parâmetros!$A$14:$A$17,0)),"")</f>
        <v>2</v>
      </c>
      <c r="N426" s="2" t="str">
        <f aca="false">IF(OR(H426="",M426=""),"",IF(H426&lt;=M426,"Sim","Não"))</f>
        <v>Sim</v>
      </c>
    </row>
    <row r="427" customFormat="false" ht="15" hidden="false" customHeight="false" outlineLevel="0" collapsed="false">
      <c r="A427" s="2" t="s">
        <v>464</v>
      </c>
      <c r="B427" s="3" t="n">
        <v>46287</v>
      </c>
      <c r="C427" s="2" t="s">
        <v>27</v>
      </c>
      <c r="D427" s="2" t="s">
        <v>38</v>
      </c>
      <c r="E427" s="2" t="s">
        <v>47</v>
      </c>
      <c r="F427" s="2" t="s">
        <v>42</v>
      </c>
      <c r="G427" s="2" t="s">
        <v>19</v>
      </c>
      <c r="H427" s="2" t="n">
        <v>2.7</v>
      </c>
      <c r="I427" s="2" t="n">
        <v>8.5</v>
      </c>
      <c r="J427" s="2" t="s">
        <v>20</v>
      </c>
      <c r="K427" s="2" t="n">
        <v>5</v>
      </c>
      <c r="L427" s="3" t="n">
        <f aca="false">B427-WEEKDAY(B427,2)+1</f>
        <v>46286</v>
      </c>
      <c r="M427" s="4" t="n">
        <f aca="false">IFERROR(INDEX(02_Parâmetros!$B$14:$B$17,MATCH(C427,02_Parâmetros!$A$14:$A$17,0)),"")</f>
        <v>10</v>
      </c>
      <c r="N427" s="2" t="str">
        <f aca="false">IF(OR(H427="",M427=""),"",IF(H427&lt;=M427,"Sim","Não"))</f>
        <v>Sim</v>
      </c>
    </row>
    <row r="428" customFormat="false" ht="15" hidden="false" customHeight="false" outlineLevel="0" collapsed="false">
      <c r="A428" s="2" t="s">
        <v>465</v>
      </c>
      <c r="B428" s="3" t="n">
        <v>46287</v>
      </c>
      <c r="C428" s="2" t="s">
        <v>15</v>
      </c>
      <c r="D428" s="2" t="s">
        <v>38</v>
      </c>
      <c r="E428" s="2" t="s">
        <v>47</v>
      </c>
      <c r="F428" s="2" t="s">
        <v>18</v>
      </c>
      <c r="G428" s="2" t="s">
        <v>19</v>
      </c>
      <c r="H428" s="2" t="n">
        <v>0.5</v>
      </c>
      <c r="I428" s="2" t="n">
        <v>9.1</v>
      </c>
      <c r="J428" s="2" t="s">
        <v>20</v>
      </c>
      <c r="K428" s="2" t="n">
        <v>3</v>
      </c>
      <c r="L428" s="3" t="n">
        <f aca="false">B428-WEEKDAY(B428,2)+1</f>
        <v>46286</v>
      </c>
      <c r="M428" s="4" t="n">
        <f aca="false">IFERROR(INDEX(02_Parâmetros!$B$14:$B$17,MATCH(C428,02_Parâmetros!$A$14:$A$17,0)),"")</f>
        <v>1</v>
      </c>
      <c r="N428" s="2" t="str">
        <f aca="false">IF(OR(H428="",M428=""),"",IF(H428&lt;=M428,"Sim","Não"))</f>
        <v>Sim</v>
      </c>
    </row>
    <row r="429" customFormat="false" ht="15" hidden="false" customHeight="false" outlineLevel="0" collapsed="false">
      <c r="A429" s="2" t="s">
        <v>466</v>
      </c>
      <c r="B429" s="3" t="n">
        <v>46287</v>
      </c>
      <c r="C429" s="2" t="s">
        <v>41</v>
      </c>
      <c r="D429" s="2" t="s">
        <v>38</v>
      </c>
      <c r="E429" s="2" t="s">
        <v>56</v>
      </c>
      <c r="F429" s="2" t="s">
        <v>24</v>
      </c>
      <c r="G429" s="2" t="s">
        <v>19</v>
      </c>
      <c r="H429" s="2" t="n">
        <v>127.5</v>
      </c>
      <c r="I429" s="2" t="n">
        <v>14.9</v>
      </c>
      <c r="J429" s="2" t="s">
        <v>20</v>
      </c>
      <c r="K429" s="2"/>
      <c r="L429" s="3" t="n">
        <f aca="false">B429-WEEKDAY(B429,2)+1</f>
        <v>46286</v>
      </c>
      <c r="M429" s="4" t="n">
        <f aca="false">IFERROR(INDEX(02_Parâmetros!$B$14:$B$17,MATCH(C429,02_Parâmetros!$A$14:$A$17,0)),"")</f>
        <v>240</v>
      </c>
      <c r="N429" s="2" t="str">
        <f aca="false">IF(OR(H429="",M429=""),"",IF(H429&lt;=M429,"Sim","Não"))</f>
        <v>Sim</v>
      </c>
    </row>
    <row r="430" customFormat="false" ht="15" hidden="false" customHeight="false" outlineLevel="0" collapsed="false">
      <c r="A430" s="2" t="s">
        <v>467</v>
      </c>
      <c r="B430" s="3" t="n">
        <v>46287</v>
      </c>
      <c r="C430" s="2" t="s">
        <v>27</v>
      </c>
      <c r="D430" s="2" t="s">
        <v>22</v>
      </c>
      <c r="E430" s="2" t="s">
        <v>28</v>
      </c>
      <c r="F430" s="2" t="s">
        <v>42</v>
      </c>
      <c r="G430" s="2" t="s">
        <v>19</v>
      </c>
      <c r="H430" s="2"/>
      <c r="I430" s="2" t="n">
        <v>7.2</v>
      </c>
      <c r="J430" s="2" t="s">
        <v>20</v>
      </c>
      <c r="K430" s="2" t="n">
        <v>5</v>
      </c>
      <c r="L430" s="3" t="n">
        <f aca="false">B430-WEEKDAY(B430,2)+1</f>
        <v>46286</v>
      </c>
      <c r="M430" s="4" t="n">
        <f aca="false">IFERROR(INDEX(02_Parâmetros!$B$14:$B$17,MATCH(C430,02_Parâmetros!$A$14:$A$17,0)),"")</f>
        <v>10</v>
      </c>
      <c r="N430" s="2" t="str">
        <f aca="false">IF(OR(H430="",M430=""),"",IF(H430&lt;=M430,"Sim","Não"))</f>
        <v/>
      </c>
    </row>
    <row r="431" customFormat="false" ht="15" hidden="false" customHeight="false" outlineLevel="0" collapsed="false">
      <c r="A431" s="2" t="s">
        <v>468</v>
      </c>
      <c r="B431" s="3" t="n">
        <v>46287</v>
      </c>
      <c r="C431" s="2" t="s">
        <v>27</v>
      </c>
      <c r="D431" s="2" t="s">
        <v>38</v>
      </c>
      <c r="E431" s="2" t="s">
        <v>47</v>
      </c>
      <c r="F431" s="2" t="s">
        <v>42</v>
      </c>
      <c r="G431" s="2" t="s">
        <v>19</v>
      </c>
      <c r="H431" s="2" t="n">
        <v>2.8</v>
      </c>
      <c r="I431" s="2" t="n">
        <v>6.5</v>
      </c>
      <c r="J431" s="2" t="s">
        <v>25</v>
      </c>
      <c r="K431" s="2"/>
      <c r="L431" s="3" t="n">
        <f aca="false">B431-WEEKDAY(B431,2)+1</f>
        <v>46286</v>
      </c>
      <c r="M431" s="4" t="n">
        <f aca="false">IFERROR(INDEX(02_Parâmetros!$B$14:$B$17,MATCH(C431,02_Parâmetros!$A$14:$A$17,0)),"")</f>
        <v>10</v>
      </c>
      <c r="N431" s="2" t="str">
        <f aca="false">IF(OR(H431="",M431=""),"",IF(H431&lt;=M431,"Sim","Não"))</f>
        <v>Sim</v>
      </c>
    </row>
    <row r="432" customFormat="false" ht="15" hidden="false" customHeight="false" outlineLevel="0" collapsed="false">
      <c r="A432" s="2" t="s">
        <v>469</v>
      </c>
      <c r="B432" s="3" t="n">
        <v>46287</v>
      </c>
      <c r="C432" s="2" t="s">
        <v>27</v>
      </c>
      <c r="D432" s="2" t="s">
        <v>16</v>
      </c>
      <c r="E432" s="2" t="s">
        <v>36</v>
      </c>
      <c r="F432" s="2" t="s">
        <v>18</v>
      </c>
      <c r="G432" s="2" t="s">
        <v>19</v>
      </c>
      <c r="H432" s="2" t="n">
        <v>5.1</v>
      </c>
      <c r="I432" s="2" t="n">
        <v>6.7</v>
      </c>
      <c r="J432" s="2" t="s">
        <v>20</v>
      </c>
      <c r="K432" s="2"/>
      <c r="L432" s="3" t="n">
        <f aca="false">B432-WEEKDAY(B432,2)+1</f>
        <v>46286</v>
      </c>
      <c r="M432" s="4" t="n">
        <f aca="false">IFERROR(INDEX(02_Parâmetros!$B$14:$B$17,MATCH(C432,02_Parâmetros!$A$14:$A$17,0)),"")</f>
        <v>10</v>
      </c>
      <c r="N432" s="2" t="str">
        <f aca="false">IF(OR(H432="",M432=""),"",IF(H432&lt;=M432,"Sim","Não"))</f>
        <v>Sim</v>
      </c>
    </row>
    <row r="433" customFormat="false" ht="15" hidden="false" customHeight="false" outlineLevel="0" collapsed="false">
      <c r="A433" s="2" t="s">
        <v>470</v>
      </c>
      <c r="B433" s="3" t="n">
        <v>46287</v>
      </c>
      <c r="C433" s="2" t="s">
        <v>15</v>
      </c>
      <c r="D433" s="2" t="s">
        <v>16</v>
      </c>
      <c r="E433" s="2" t="s">
        <v>31</v>
      </c>
      <c r="F433" s="2" t="s">
        <v>18</v>
      </c>
      <c r="G433" s="2" t="s">
        <v>19</v>
      </c>
      <c r="H433" s="2" t="n">
        <v>0.4</v>
      </c>
      <c r="I433" s="2" t="n">
        <v>9.4</v>
      </c>
      <c r="J433" s="2" t="s">
        <v>20</v>
      </c>
      <c r="K433" s="2"/>
      <c r="L433" s="3" t="n">
        <f aca="false">B433-WEEKDAY(B433,2)+1</f>
        <v>46286</v>
      </c>
      <c r="M433" s="4" t="n">
        <f aca="false">IFERROR(INDEX(02_Parâmetros!$B$14:$B$17,MATCH(C433,02_Parâmetros!$A$14:$A$17,0)),"")</f>
        <v>1</v>
      </c>
      <c r="N433" s="2" t="str">
        <f aca="false">IF(OR(H433="",M433=""),"",IF(H433&lt;=M433,"Sim","Não"))</f>
        <v>Sim</v>
      </c>
    </row>
    <row r="434" customFormat="false" ht="15" hidden="false" customHeight="false" outlineLevel="0" collapsed="false">
      <c r="A434" s="2" t="s">
        <v>471</v>
      </c>
      <c r="B434" s="3" t="n">
        <v>46287</v>
      </c>
      <c r="C434" s="2" t="s">
        <v>27</v>
      </c>
      <c r="D434" s="2" t="s">
        <v>16</v>
      </c>
      <c r="E434" s="2" t="s">
        <v>36</v>
      </c>
      <c r="F434" s="2" t="s">
        <v>42</v>
      </c>
      <c r="G434" s="2" t="s">
        <v>19</v>
      </c>
      <c r="H434" s="2" t="n">
        <v>4.6</v>
      </c>
      <c r="I434" s="2" t="n">
        <v>7</v>
      </c>
      <c r="J434" s="2" t="s">
        <v>20</v>
      </c>
      <c r="K434" s="2"/>
      <c r="L434" s="3" t="n">
        <f aca="false">B434-WEEKDAY(B434,2)+1</f>
        <v>46286</v>
      </c>
      <c r="M434" s="4" t="n">
        <f aca="false">IFERROR(INDEX(02_Parâmetros!$B$14:$B$17,MATCH(C434,02_Parâmetros!$A$14:$A$17,0)),"")</f>
        <v>10</v>
      </c>
      <c r="N434" s="2" t="str">
        <f aca="false">IF(OR(H434="",M434=""),"",IF(H434&lt;=M434,"Sim","Não"))</f>
        <v>Sim</v>
      </c>
    </row>
    <row r="435" customFormat="false" ht="15" hidden="false" customHeight="false" outlineLevel="0" collapsed="false">
      <c r="A435" s="2" t="s">
        <v>472</v>
      </c>
      <c r="B435" s="3" t="n">
        <v>46287</v>
      </c>
      <c r="C435" s="2" t="s">
        <v>15</v>
      </c>
      <c r="D435" s="2" t="s">
        <v>16</v>
      </c>
      <c r="E435" s="2" t="s">
        <v>36</v>
      </c>
      <c r="F435" s="2" t="s">
        <v>18</v>
      </c>
      <c r="G435" s="2" t="s">
        <v>19</v>
      </c>
      <c r="H435" s="2" t="n">
        <v>0.5</v>
      </c>
      <c r="I435" s="2" t="n">
        <v>11.2</v>
      </c>
      <c r="J435" s="2" t="s">
        <v>20</v>
      </c>
      <c r="K435" s="2"/>
      <c r="L435" s="3" t="n">
        <f aca="false">B435-WEEKDAY(B435,2)+1</f>
        <v>46286</v>
      </c>
      <c r="M435" s="4" t="n">
        <f aca="false">IFERROR(INDEX(02_Parâmetros!$B$14:$B$17,MATCH(C435,02_Parâmetros!$A$14:$A$17,0)),"")</f>
        <v>1</v>
      </c>
      <c r="N435" s="2" t="str">
        <f aca="false">IF(OR(H435="",M435=""),"",IF(H435&lt;=M435,"Sim","Não"))</f>
        <v>Sim</v>
      </c>
    </row>
    <row r="436" customFormat="false" ht="15" hidden="false" customHeight="false" outlineLevel="0" collapsed="false">
      <c r="A436" s="2" t="s">
        <v>473</v>
      </c>
      <c r="B436" s="3" t="n">
        <v>46287</v>
      </c>
      <c r="C436" s="2" t="s">
        <v>41</v>
      </c>
      <c r="D436" s="2" t="s">
        <v>38</v>
      </c>
      <c r="E436" s="2" t="s">
        <v>47</v>
      </c>
      <c r="F436" s="2" t="s">
        <v>42</v>
      </c>
      <c r="G436" s="2" t="s">
        <v>19</v>
      </c>
      <c r="H436" s="2" t="n">
        <v>201.5</v>
      </c>
      <c r="I436" s="2" t="n">
        <v>8.4</v>
      </c>
      <c r="J436" s="2" t="s">
        <v>25</v>
      </c>
      <c r="K436" s="2" t="n">
        <v>5</v>
      </c>
      <c r="L436" s="3" t="n">
        <f aca="false">B436-WEEKDAY(B436,2)+1</f>
        <v>46286</v>
      </c>
      <c r="M436" s="4" t="n">
        <f aca="false">IFERROR(INDEX(02_Parâmetros!$B$14:$B$17,MATCH(C436,02_Parâmetros!$A$14:$A$17,0)),"")</f>
        <v>240</v>
      </c>
      <c r="N436" s="2" t="str">
        <f aca="false">IF(OR(H436="",M436=""),"",IF(H436&lt;=M436,"Sim","Não"))</f>
        <v>Sim</v>
      </c>
    </row>
    <row r="437" customFormat="false" ht="15" hidden="false" customHeight="false" outlineLevel="0" collapsed="false">
      <c r="A437" s="2" t="s">
        <v>474</v>
      </c>
      <c r="B437" s="3" t="n">
        <v>46287</v>
      </c>
      <c r="C437" s="2" t="s">
        <v>41</v>
      </c>
      <c r="D437" s="2" t="s">
        <v>38</v>
      </c>
      <c r="E437" s="2" t="s">
        <v>56</v>
      </c>
      <c r="F437" s="2" t="s">
        <v>70</v>
      </c>
      <c r="G437" s="2" t="s">
        <v>19</v>
      </c>
      <c r="H437" s="2" t="n">
        <v>111.8</v>
      </c>
      <c r="I437" s="2" t="n">
        <v>13.2</v>
      </c>
      <c r="J437" s="2" t="s">
        <v>20</v>
      </c>
      <c r="K437" s="2"/>
      <c r="L437" s="3" t="n">
        <f aca="false">B437-WEEKDAY(B437,2)+1</f>
        <v>46286</v>
      </c>
      <c r="M437" s="4" t="n">
        <f aca="false">IFERROR(INDEX(02_Parâmetros!$B$14:$B$17,MATCH(C437,02_Parâmetros!$A$14:$A$17,0)),"")</f>
        <v>240</v>
      </c>
      <c r="N437" s="2" t="str">
        <f aca="false">IF(OR(H437="",M437=""),"",IF(H437&lt;=M437,"Sim","Não"))</f>
        <v>Sim</v>
      </c>
    </row>
    <row r="438" customFormat="false" ht="15" hidden="false" customHeight="false" outlineLevel="0" collapsed="false">
      <c r="A438" s="2" t="s">
        <v>475</v>
      </c>
      <c r="B438" s="3" t="n">
        <v>46287</v>
      </c>
      <c r="C438" s="2" t="s">
        <v>41</v>
      </c>
      <c r="D438" s="2" t="s">
        <v>38</v>
      </c>
      <c r="E438" s="2" t="s">
        <v>56</v>
      </c>
      <c r="F438" s="2" t="s">
        <v>42</v>
      </c>
      <c r="G438" s="2" t="s">
        <v>19</v>
      </c>
      <c r="H438" s="2" t="n">
        <v>213.4</v>
      </c>
      <c r="I438" s="2" t="n">
        <v>10.6</v>
      </c>
      <c r="J438" s="2" t="s">
        <v>20</v>
      </c>
      <c r="K438" s="2" t="n">
        <v>5</v>
      </c>
      <c r="L438" s="3" t="n">
        <f aca="false">B438-WEEKDAY(B438,2)+1</f>
        <v>46286</v>
      </c>
      <c r="M438" s="4" t="n">
        <f aca="false">IFERROR(INDEX(02_Parâmetros!$B$14:$B$17,MATCH(C438,02_Parâmetros!$A$14:$A$17,0)),"")</f>
        <v>240</v>
      </c>
      <c r="N438" s="2" t="str">
        <f aca="false">IF(OR(H438="",M438=""),"",IF(H438&lt;=M438,"Sim","Não"))</f>
        <v>Sim</v>
      </c>
    </row>
    <row r="439" customFormat="false" ht="15" hidden="false" customHeight="false" outlineLevel="0" collapsed="false">
      <c r="A439" s="2" t="s">
        <v>476</v>
      </c>
      <c r="B439" s="3" t="n">
        <v>46287</v>
      </c>
      <c r="C439" s="2" t="s">
        <v>44</v>
      </c>
      <c r="D439" s="2" t="s">
        <v>38</v>
      </c>
      <c r="E439" s="2" t="s">
        <v>47</v>
      </c>
      <c r="F439" s="2" t="s">
        <v>18</v>
      </c>
      <c r="G439" s="2" t="s">
        <v>19</v>
      </c>
      <c r="H439" s="2" t="n">
        <v>1.7</v>
      </c>
      <c r="I439" s="2" t="n">
        <v>9.6</v>
      </c>
      <c r="J439" s="2" t="s">
        <v>20</v>
      </c>
      <c r="K439" s="2"/>
      <c r="L439" s="3" t="n">
        <f aca="false">B439-WEEKDAY(B439,2)+1</f>
        <v>46286</v>
      </c>
      <c r="M439" s="4" t="n">
        <f aca="false">IFERROR(INDEX(02_Parâmetros!$B$14:$B$17,MATCH(C439,02_Parâmetros!$A$14:$A$17,0)),"")</f>
        <v>2</v>
      </c>
      <c r="N439" s="2" t="str">
        <f aca="false">IF(OR(H439="",M439=""),"",IF(H439&lt;=M439,"Sim","Não"))</f>
        <v>Sim</v>
      </c>
    </row>
    <row r="440" customFormat="false" ht="15" hidden="false" customHeight="false" outlineLevel="0" collapsed="false">
      <c r="A440" s="2" t="s">
        <v>477</v>
      </c>
      <c r="B440" s="3" t="n">
        <v>46288</v>
      </c>
      <c r="C440" s="2" t="s">
        <v>27</v>
      </c>
      <c r="D440" s="2" t="s">
        <v>22</v>
      </c>
      <c r="E440" s="2" t="s">
        <v>23</v>
      </c>
      <c r="F440" s="2" t="s">
        <v>24</v>
      </c>
      <c r="G440" s="2" t="s">
        <v>19</v>
      </c>
      <c r="H440" s="2" t="n">
        <v>4.8</v>
      </c>
      <c r="I440" s="2" t="n">
        <v>11.2</v>
      </c>
      <c r="J440" s="2" t="s">
        <v>20</v>
      </c>
      <c r="K440" s="2"/>
      <c r="L440" s="3" t="n">
        <f aca="false">B440-WEEKDAY(B440,2)+1</f>
        <v>46286</v>
      </c>
      <c r="M440" s="4" t="n">
        <f aca="false">IFERROR(INDEX(02_Parâmetros!$B$14:$B$17,MATCH(C440,02_Parâmetros!$A$14:$A$17,0)),"")</f>
        <v>10</v>
      </c>
      <c r="N440" s="2" t="str">
        <f aca="false">IF(OR(H440="",M440=""),"",IF(H440&lt;=M440,"Sim","Não"))</f>
        <v>Sim</v>
      </c>
    </row>
    <row r="441" customFormat="false" ht="15" hidden="false" customHeight="false" outlineLevel="0" collapsed="false">
      <c r="A441" s="2" t="s">
        <v>478</v>
      </c>
      <c r="B441" s="3" t="n">
        <v>46288</v>
      </c>
      <c r="C441" s="2" t="s">
        <v>41</v>
      </c>
      <c r="D441" s="2" t="s">
        <v>38</v>
      </c>
      <c r="E441" s="2" t="s">
        <v>56</v>
      </c>
      <c r="F441" s="2" t="s">
        <v>42</v>
      </c>
      <c r="G441" s="2" t="s">
        <v>19</v>
      </c>
      <c r="H441" s="2" t="n">
        <v>235.8</v>
      </c>
      <c r="I441" s="2" t="n">
        <v>7.8</v>
      </c>
      <c r="J441" s="2" t="s">
        <v>20</v>
      </c>
      <c r="K441" s="2"/>
      <c r="L441" s="3" t="n">
        <f aca="false">B441-WEEKDAY(B441,2)+1</f>
        <v>46286</v>
      </c>
      <c r="M441" s="4" t="n">
        <f aca="false">IFERROR(INDEX(02_Parâmetros!$B$14:$B$17,MATCH(C441,02_Parâmetros!$A$14:$A$17,0)),"")</f>
        <v>240</v>
      </c>
      <c r="N441" s="2" t="str">
        <f aca="false">IF(OR(H441="",M441=""),"",IF(H441&lt;=M441,"Sim","Não"))</f>
        <v>Sim</v>
      </c>
    </row>
    <row r="442" customFormat="false" ht="15" hidden="false" customHeight="false" outlineLevel="0" collapsed="false">
      <c r="A442" s="2" t="s">
        <v>479</v>
      </c>
      <c r="B442" s="3" t="n">
        <v>46288</v>
      </c>
      <c r="C442" s="2" t="s">
        <v>27</v>
      </c>
      <c r="D442" s="2" t="s">
        <v>22</v>
      </c>
      <c r="E442" s="2" t="s">
        <v>23</v>
      </c>
      <c r="F442" s="2" t="s">
        <v>42</v>
      </c>
      <c r="G442" s="2" t="s">
        <v>19</v>
      </c>
      <c r="H442" s="2" t="n">
        <v>27.1</v>
      </c>
      <c r="I442" s="2" t="n">
        <v>8.8</v>
      </c>
      <c r="J442" s="2" t="s">
        <v>20</v>
      </c>
      <c r="K442" s="2"/>
      <c r="L442" s="3" t="n">
        <f aca="false">B442-WEEKDAY(B442,2)+1</f>
        <v>46286</v>
      </c>
      <c r="M442" s="4" t="n">
        <f aca="false">IFERROR(INDEX(02_Parâmetros!$B$14:$B$17,MATCH(C442,02_Parâmetros!$A$14:$A$17,0)),"")</f>
        <v>10</v>
      </c>
      <c r="N442" s="2" t="str">
        <f aca="false">IF(OR(H442="",M442=""),"",IF(H442&lt;=M442,"Sim","Não"))</f>
        <v>Não</v>
      </c>
    </row>
    <row r="443" customFormat="false" ht="15" hidden="false" customHeight="false" outlineLevel="0" collapsed="false">
      <c r="A443" s="2" t="s">
        <v>480</v>
      </c>
      <c r="B443" s="3" t="n">
        <v>46288</v>
      </c>
      <c r="C443" s="2" t="s">
        <v>15</v>
      </c>
      <c r="D443" s="2" t="s">
        <v>38</v>
      </c>
      <c r="E443" s="2" t="s">
        <v>47</v>
      </c>
      <c r="F443" s="2" t="s">
        <v>42</v>
      </c>
      <c r="G443" s="2" t="s">
        <v>19</v>
      </c>
      <c r="H443" s="2" t="n">
        <v>0.8</v>
      </c>
      <c r="I443" s="2" t="n">
        <v>10.1</v>
      </c>
      <c r="J443" s="2" t="s">
        <v>20</v>
      </c>
      <c r="K443" s="2"/>
      <c r="L443" s="3" t="n">
        <f aca="false">B443-WEEKDAY(B443,2)+1</f>
        <v>46286</v>
      </c>
      <c r="M443" s="4" t="n">
        <f aca="false">IFERROR(INDEX(02_Parâmetros!$B$14:$B$17,MATCH(C443,02_Parâmetros!$A$14:$A$17,0)),"")</f>
        <v>1</v>
      </c>
      <c r="N443" s="2" t="str">
        <f aca="false">IF(OR(H443="",M443=""),"",IF(H443&lt;=M443,"Sim","Não"))</f>
        <v>Sim</v>
      </c>
    </row>
    <row r="444" customFormat="false" ht="15" hidden="false" customHeight="false" outlineLevel="0" collapsed="false">
      <c r="A444" s="2" t="s">
        <v>481</v>
      </c>
      <c r="B444" s="3" t="n">
        <v>46288</v>
      </c>
      <c r="C444" s="2" t="s">
        <v>41</v>
      </c>
      <c r="D444" s="2" t="s">
        <v>38</v>
      </c>
      <c r="E444" s="2" t="s">
        <v>47</v>
      </c>
      <c r="F444" s="2" t="s">
        <v>32</v>
      </c>
      <c r="G444" s="2" t="s">
        <v>19</v>
      </c>
      <c r="H444" s="2" t="n">
        <v>229.5</v>
      </c>
      <c r="I444" s="2" t="n">
        <v>8</v>
      </c>
      <c r="J444" s="2" t="s">
        <v>20</v>
      </c>
      <c r="K444" s="2" t="n">
        <v>4</v>
      </c>
      <c r="L444" s="3" t="n">
        <f aca="false">B444-WEEKDAY(B444,2)+1</f>
        <v>46286</v>
      </c>
      <c r="M444" s="4" t="n">
        <f aca="false">IFERROR(INDEX(02_Parâmetros!$B$14:$B$17,MATCH(C444,02_Parâmetros!$A$14:$A$17,0)),"")</f>
        <v>240</v>
      </c>
      <c r="N444" s="2" t="str">
        <f aca="false">IF(OR(H444="",M444=""),"",IF(H444&lt;=M444,"Sim","Não"))</f>
        <v>Sim</v>
      </c>
    </row>
    <row r="445" customFormat="false" ht="15" hidden="false" customHeight="false" outlineLevel="0" collapsed="false">
      <c r="A445" s="2" t="s">
        <v>482</v>
      </c>
      <c r="B445" s="3" t="n">
        <v>46288</v>
      </c>
      <c r="C445" s="2" t="s">
        <v>41</v>
      </c>
      <c r="D445" s="2" t="s">
        <v>38</v>
      </c>
      <c r="E445" s="2" t="s">
        <v>39</v>
      </c>
      <c r="F445" s="2" t="s">
        <v>42</v>
      </c>
      <c r="G445" s="2" t="s">
        <v>19</v>
      </c>
      <c r="H445" s="2" t="n">
        <v>391.7</v>
      </c>
      <c r="I445" s="2" t="n">
        <v>10</v>
      </c>
      <c r="J445" s="2" t="s">
        <v>20</v>
      </c>
      <c r="K445" s="2"/>
      <c r="L445" s="3" t="n">
        <f aca="false">B445-WEEKDAY(B445,2)+1</f>
        <v>46286</v>
      </c>
      <c r="M445" s="4" t="n">
        <f aca="false">IFERROR(INDEX(02_Parâmetros!$B$14:$B$17,MATCH(C445,02_Parâmetros!$A$14:$A$17,0)),"")</f>
        <v>240</v>
      </c>
      <c r="N445" s="2" t="str">
        <f aca="false">IF(OR(H445="",M445=""),"",IF(H445&lt;=M445,"Sim","Não"))</f>
        <v>Não</v>
      </c>
    </row>
    <row r="446" customFormat="false" ht="15" hidden="false" customHeight="false" outlineLevel="0" collapsed="false">
      <c r="A446" s="2" t="s">
        <v>483</v>
      </c>
      <c r="B446" s="3" t="n">
        <v>46288</v>
      </c>
      <c r="C446" s="2" t="s">
        <v>27</v>
      </c>
      <c r="D446" s="2" t="s">
        <v>38</v>
      </c>
      <c r="E446" s="2" t="s">
        <v>47</v>
      </c>
      <c r="F446" s="2" t="s">
        <v>32</v>
      </c>
      <c r="G446" s="2" t="s">
        <v>19</v>
      </c>
      <c r="H446" s="2" t="n">
        <v>7</v>
      </c>
      <c r="I446" s="2" t="n">
        <v>5.7</v>
      </c>
      <c r="J446" s="2" t="s">
        <v>20</v>
      </c>
      <c r="K446" s="2" t="n">
        <v>5</v>
      </c>
      <c r="L446" s="3" t="n">
        <f aca="false">B446-WEEKDAY(B446,2)+1</f>
        <v>46286</v>
      </c>
      <c r="M446" s="4" t="n">
        <f aca="false">IFERROR(INDEX(02_Parâmetros!$B$14:$B$17,MATCH(C446,02_Parâmetros!$A$14:$A$17,0)),"")</f>
        <v>10</v>
      </c>
      <c r="N446" s="2" t="str">
        <f aca="false">IF(OR(H446="",M446=""),"",IF(H446&lt;=M446,"Sim","Não"))</f>
        <v>Sim</v>
      </c>
    </row>
    <row r="447" customFormat="false" ht="15" hidden="false" customHeight="false" outlineLevel="0" collapsed="false">
      <c r="A447" s="2" t="s">
        <v>484</v>
      </c>
      <c r="B447" s="3" t="n">
        <v>46288</v>
      </c>
      <c r="C447" s="2" t="s">
        <v>44</v>
      </c>
      <c r="D447" s="2" t="s">
        <v>16</v>
      </c>
      <c r="E447" s="2" t="s">
        <v>36</v>
      </c>
      <c r="F447" s="2" t="s">
        <v>32</v>
      </c>
      <c r="G447" s="2" t="s">
        <v>19</v>
      </c>
      <c r="H447" s="2" t="n">
        <v>2</v>
      </c>
      <c r="I447" s="2" t="n">
        <v>10.1</v>
      </c>
      <c r="J447" s="2" t="s">
        <v>20</v>
      </c>
      <c r="K447" s="2"/>
      <c r="L447" s="3" t="n">
        <f aca="false">B447-WEEKDAY(B447,2)+1</f>
        <v>46286</v>
      </c>
      <c r="M447" s="4" t="n">
        <f aca="false">IFERROR(INDEX(02_Parâmetros!$B$14:$B$17,MATCH(C447,02_Parâmetros!$A$14:$A$17,0)),"")</f>
        <v>2</v>
      </c>
      <c r="N447" s="2" t="str">
        <f aca="false">IF(OR(H447="",M447=""),"",IF(H447&lt;=M447,"Sim","Não"))</f>
        <v>Sim</v>
      </c>
    </row>
    <row r="448" customFormat="false" ht="15" hidden="false" customHeight="false" outlineLevel="0" collapsed="false">
      <c r="A448" s="2" t="s">
        <v>485</v>
      </c>
      <c r="B448" s="3" t="n">
        <v>46288</v>
      </c>
      <c r="C448" s="2" t="s">
        <v>27</v>
      </c>
      <c r="D448" s="2" t="s">
        <v>22</v>
      </c>
      <c r="E448" s="2" t="s">
        <v>23</v>
      </c>
      <c r="F448" s="2" t="s">
        <v>18</v>
      </c>
      <c r="G448" s="2" t="s">
        <v>19</v>
      </c>
      <c r="H448" s="2" t="n">
        <v>5.9</v>
      </c>
      <c r="I448" s="2" t="n">
        <v>8</v>
      </c>
      <c r="J448" s="2" t="s">
        <v>25</v>
      </c>
      <c r="K448" s="2" t="n">
        <v>4</v>
      </c>
      <c r="L448" s="3" t="n">
        <f aca="false">B448-WEEKDAY(B448,2)+1</f>
        <v>46286</v>
      </c>
      <c r="M448" s="4" t="n">
        <f aca="false">IFERROR(INDEX(02_Parâmetros!$B$14:$B$17,MATCH(C448,02_Parâmetros!$A$14:$A$17,0)),"")</f>
        <v>10</v>
      </c>
      <c r="N448" s="2" t="str">
        <f aca="false">IF(OR(H448="",M448=""),"",IF(H448&lt;=M448,"Sim","Não"))</f>
        <v>Sim</v>
      </c>
    </row>
    <row r="449" customFormat="false" ht="15" hidden="false" customHeight="false" outlineLevel="0" collapsed="false">
      <c r="A449" s="2" t="s">
        <v>486</v>
      </c>
      <c r="B449" s="3" t="n">
        <v>46288</v>
      </c>
      <c r="C449" s="2" t="s">
        <v>27</v>
      </c>
      <c r="D449" s="2" t="s">
        <v>16</v>
      </c>
      <c r="E449" s="2" t="s">
        <v>31</v>
      </c>
      <c r="F449" s="2" t="s">
        <v>18</v>
      </c>
      <c r="G449" s="2" t="s">
        <v>19</v>
      </c>
      <c r="H449" s="2" t="n">
        <v>9.4</v>
      </c>
      <c r="I449" s="2" t="n">
        <v>7.5</v>
      </c>
      <c r="J449" s="2" t="s">
        <v>20</v>
      </c>
      <c r="K449" s="2"/>
      <c r="L449" s="3" t="n">
        <f aca="false">B449-WEEKDAY(B449,2)+1</f>
        <v>46286</v>
      </c>
      <c r="M449" s="4" t="n">
        <f aca="false">IFERROR(INDEX(02_Parâmetros!$B$14:$B$17,MATCH(C449,02_Parâmetros!$A$14:$A$17,0)),"")</f>
        <v>10</v>
      </c>
      <c r="N449" s="2" t="str">
        <f aca="false">IF(OR(H449="",M449=""),"",IF(H449&lt;=M449,"Sim","Não"))</f>
        <v>Sim</v>
      </c>
    </row>
    <row r="450" customFormat="false" ht="15" hidden="false" customHeight="false" outlineLevel="0" collapsed="false">
      <c r="A450" s="2" t="s">
        <v>487</v>
      </c>
      <c r="B450" s="3" t="n">
        <v>46288</v>
      </c>
      <c r="C450" s="2" t="s">
        <v>44</v>
      </c>
      <c r="D450" s="2" t="s">
        <v>22</v>
      </c>
      <c r="E450" s="2" t="s">
        <v>23</v>
      </c>
      <c r="F450" s="2" t="s">
        <v>18</v>
      </c>
      <c r="G450" s="2" t="s">
        <v>19</v>
      </c>
      <c r="H450" s="2" t="n">
        <v>0.9</v>
      </c>
      <c r="I450" s="2" t="n">
        <v>9.4</v>
      </c>
      <c r="J450" s="2" t="s">
        <v>20</v>
      </c>
      <c r="K450" s="2"/>
      <c r="L450" s="3" t="n">
        <f aca="false">B450-WEEKDAY(B450,2)+1</f>
        <v>46286</v>
      </c>
      <c r="M450" s="4" t="n">
        <f aca="false">IFERROR(INDEX(02_Parâmetros!$B$14:$B$17,MATCH(C450,02_Parâmetros!$A$14:$A$17,0)),"")</f>
        <v>2</v>
      </c>
      <c r="N450" s="2" t="str">
        <f aca="false">IF(OR(H450="",M450=""),"",IF(H450&lt;=M450,"Sim","Não"))</f>
        <v>Sim</v>
      </c>
    </row>
    <row r="451" customFormat="false" ht="15" hidden="false" customHeight="false" outlineLevel="0" collapsed="false">
      <c r="A451" s="2" t="s">
        <v>488</v>
      </c>
      <c r="B451" s="3" t="n">
        <v>46288</v>
      </c>
      <c r="C451" s="2" t="s">
        <v>41</v>
      </c>
      <c r="D451" s="2" t="s">
        <v>38</v>
      </c>
      <c r="E451" s="2" t="s">
        <v>47</v>
      </c>
      <c r="F451" s="2" t="s">
        <v>32</v>
      </c>
      <c r="G451" s="2" t="s">
        <v>19</v>
      </c>
      <c r="H451" s="2" t="n">
        <v>80.3</v>
      </c>
      <c r="I451" s="2" t="n">
        <v>8.1</v>
      </c>
      <c r="J451" s="2" t="s">
        <v>20</v>
      </c>
      <c r="K451" s="2"/>
      <c r="L451" s="3" t="n">
        <f aca="false">B451-WEEKDAY(B451,2)+1</f>
        <v>46286</v>
      </c>
      <c r="M451" s="4" t="n">
        <f aca="false">IFERROR(INDEX(02_Parâmetros!$B$14:$B$17,MATCH(C451,02_Parâmetros!$A$14:$A$17,0)),"")</f>
        <v>240</v>
      </c>
      <c r="N451" s="2" t="str">
        <f aca="false">IF(OR(H451="",M451=""),"",IF(H451&lt;=M451,"Sim","Não"))</f>
        <v>Sim</v>
      </c>
    </row>
    <row r="452" customFormat="false" ht="15" hidden="false" customHeight="false" outlineLevel="0" collapsed="false">
      <c r="A452" s="2" t="s">
        <v>489</v>
      </c>
      <c r="B452" s="3" t="n">
        <v>46288</v>
      </c>
      <c r="C452" s="2" t="s">
        <v>41</v>
      </c>
      <c r="D452" s="2" t="s">
        <v>22</v>
      </c>
      <c r="E452" s="2" t="s">
        <v>23</v>
      </c>
      <c r="F452" s="2" t="s">
        <v>18</v>
      </c>
      <c r="G452" s="2" t="s">
        <v>19</v>
      </c>
      <c r="H452" s="2" t="n">
        <v>182.7</v>
      </c>
      <c r="I452" s="2" t="n">
        <v>17.5</v>
      </c>
      <c r="J452" s="2" t="s">
        <v>25</v>
      </c>
      <c r="K452" s="2"/>
      <c r="L452" s="3" t="n">
        <f aca="false">B452-WEEKDAY(B452,2)+1</f>
        <v>46286</v>
      </c>
      <c r="M452" s="4" t="n">
        <f aca="false">IFERROR(INDEX(02_Parâmetros!$B$14:$B$17,MATCH(C452,02_Parâmetros!$A$14:$A$17,0)),"")</f>
        <v>240</v>
      </c>
      <c r="N452" s="2" t="str">
        <f aca="false">IF(OR(H452="",M452=""),"",IF(H452&lt;=M452,"Sim","Não"))</f>
        <v>Sim</v>
      </c>
    </row>
    <row r="453" customFormat="false" ht="15" hidden="false" customHeight="false" outlineLevel="0" collapsed="false">
      <c r="A453" s="2" t="s">
        <v>490</v>
      </c>
      <c r="B453" s="3" t="n">
        <v>46288</v>
      </c>
      <c r="C453" s="2" t="s">
        <v>44</v>
      </c>
      <c r="D453" s="2" t="s">
        <v>16</v>
      </c>
      <c r="E453" s="2" t="s">
        <v>17</v>
      </c>
      <c r="F453" s="2" t="s">
        <v>70</v>
      </c>
      <c r="G453" s="2" t="s">
        <v>19</v>
      </c>
      <c r="H453" s="2" t="n">
        <v>1.2</v>
      </c>
      <c r="I453" s="2" t="n">
        <v>15.1</v>
      </c>
      <c r="J453" s="2" t="s">
        <v>20</v>
      </c>
      <c r="K453" s="2"/>
      <c r="L453" s="3" t="n">
        <f aca="false">B453-WEEKDAY(B453,2)+1</f>
        <v>46286</v>
      </c>
      <c r="M453" s="4" t="n">
        <f aca="false">IFERROR(INDEX(02_Parâmetros!$B$14:$B$17,MATCH(C453,02_Parâmetros!$A$14:$A$17,0)),"")</f>
        <v>2</v>
      </c>
      <c r="N453" s="2" t="str">
        <f aca="false">IF(OR(H453="",M453=""),"",IF(H453&lt;=M453,"Sim","Não"))</f>
        <v>Sim</v>
      </c>
    </row>
    <row r="454" customFormat="false" ht="15" hidden="false" customHeight="false" outlineLevel="0" collapsed="false">
      <c r="A454" s="2" t="s">
        <v>491</v>
      </c>
      <c r="B454" s="3" t="n">
        <v>46288</v>
      </c>
      <c r="C454" s="2" t="s">
        <v>44</v>
      </c>
      <c r="D454" s="2" t="s">
        <v>16</v>
      </c>
      <c r="E454" s="2" t="s">
        <v>17</v>
      </c>
      <c r="F454" s="2" t="s">
        <v>42</v>
      </c>
      <c r="G454" s="2" t="s">
        <v>19</v>
      </c>
      <c r="H454" s="2" t="n">
        <v>1.5</v>
      </c>
      <c r="I454" s="2" t="n">
        <v>8.3</v>
      </c>
      <c r="J454" s="2" t="s">
        <v>20</v>
      </c>
      <c r="K454" s="2"/>
      <c r="L454" s="3" t="n">
        <f aca="false">B454-WEEKDAY(B454,2)+1</f>
        <v>46286</v>
      </c>
      <c r="M454" s="4" t="n">
        <f aca="false">IFERROR(INDEX(02_Parâmetros!$B$14:$B$17,MATCH(C454,02_Parâmetros!$A$14:$A$17,0)),"")</f>
        <v>2</v>
      </c>
      <c r="N454" s="2" t="str">
        <f aca="false">IF(OR(H454="",M454=""),"",IF(H454&lt;=M454,"Sim","Não"))</f>
        <v>Sim</v>
      </c>
    </row>
    <row r="455" customFormat="false" ht="15" hidden="false" customHeight="false" outlineLevel="0" collapsed="false">
      <c r="A455" s="2" t="s">
        <v>492</v>
      </c>
      <c r="B455" s="3" t="n">
        <v>46288</v>
      </c>
      <c r="C455" s="2" t="s">
        <v>41</v>
      </c>
      <c r="D455" s="2" t="s">
        <v>16</v>
      </c>
      <c r="E455" s="2" t="s">
        <v>17</v>
      </c>
      <c r="F455" s="2" t="s">
        <v>32</v>
      </c>
      <c r="G455" s="2" t="s">
        <v>19</v>
      </c>
      <c r="H455" s="2" t="n">
        <v>237.6</v>
      </c>
      <c r="I455" s="2" t="n">
        <v>12.1</v>
      </c>
      <c r="J455" s="2" t="s">
        <v>20</v>
      </c>
      <c r="K455" s="2"/>
      <c r="L455" s="3" t="n">
        <f aca="false">B455-WEEKDAY(B455,2)+1</f>
        <v>46286</v>
      </c>
      <c r="M455" s="4" t="n">
        <f aca="false">IFERROR(INDEX(02_Parâmetros!$B$14:$B$17,MATCH(C455,02_Parâmetros!$A$14:$A$17,0)),"")</f>
        <v>240</v>
      </c>
      <c r="N455" s="2" t="str">
        <f aca="false">IF(OR(H455="",M455=""),"",IF(H455&lt;=M455,"Sim","Não"))</f>
        <v>Sim</v>
      </c>
    </row>
    <row r="456" customFormat="false" ht="15" hidden="false" customHeight="false" outlineLevel="0" collapsed="false">
      <c r="A456" s="2" t="s">
        <v>493</v>
      </c>
      <c r="B456" s="3" t="n">
        <v>46288</v>
      </c>
      <c r="C456" s="2" t="s">
        <v>44</v>
      </c>
      <c r="D456" s="2" t="s">
        <v>16</v>
      </c>
      <c r="E456" s="2" t="s">
        <v>17</v>
      </c>
      <c r="F456" s="2" t="s">
        <v>32</v>
      </c>
      <c r="G456" s="2" t="s">
        <v>19</v>
      </c>
      <c r="H456" s="2" t="n">
        <v>0.7</v>
      </c>
      <c r="I456" s="2" t="n">
        <v>7.7</v>
      </c>
      <c r="J456" s="2" t="s">
        <v>20</v>
      </c>
      <c r="K456" s="2"/>
      <c r="L456" s="3" t="n">
        <f aca="false">B456-WEEKDAY(B456,2)+1</f>
        <v>46286</v>
      </c>
      <c r="M456" s="4" t="n">
        <f aca="false">IFERROR(INDEX(02_Parâmetros!$B$14:$B$17,MATCH(C456,02_Parâmetros!$A$14:$A$17,0)),"")</f>
        <v>2</v>
      </c>
      <c r="N456" s="2" t="str">
        <f aca="false">IF(OR(H456="",M456=""),"",IF(H456&lt;=M456,"Sim","Não"))</f>
        <v>Sim</v>
      </c>
    </row>
    <row r="457" customFormat="false" ht="15" hidden="false" customHeight="false" outlineLevel="0" collapsed="false">
      <c r="A457" s="2" t="s">
        <v>494</v>
      </c>
      <c r="B457" s="3" t="n">
        <v>46288</v>
      </c>
      <c r="C457" s="2" t="s">
        <v>27</v>
      </c>
      <c r="D457" s="2" t="s">
        <v>16</v>
      </c>
      <c r="E457" s="2" t="s">
        <v>17</v>
      </c>
      <c r="F457" s="2" t="s">
        <v>18</v>
      </c>
      <c r="G457" s="2" t="s">
        <v>19</v>
      </c>
      <c r="H457" s="2" t="n">
        <v>6.1</v>
      </c>
      <c r="I457" s="2" t="n">
        <v>12</v>
      </c>
      <c r="J457" s="2" t="s">
        <v>20</v>
      </c>
      <c r="K457" s="2" t="n">
        <v>5</v>
      </c>
      <c r="L457" s="3" t="n">
        <f aca="false">B457-WEEKDAY(B457,2)+1</f>
        <v>46286</v>
      </c>
      <c r="M457" s="4" t="n">
        <f aca="false">IFERROR(INDEX(02_Parâmetros!$B$14:$B$17,MATCH(C457,02_Parâmetros!$A$14:$A$17,0)),"")</f>
        <v>10</v>
      </c>
      <c r="N457" s="2" t="str">
        <f aca="false">IF(OR(H457="",M457=""),"",IF(H457&lt;=M457,"Sim","Não"))</f>
        <v>Sim</v>
      </c>
    </row>
    <row r="458" customFormat="false" ht="15" hidden="false" customHeight="false" outlineLevel="0" collapsed="false">
      <c r="A458" s="2" t="s">
        <v>495</v>
      </c>
      <c r="B458" s="3" t="n">
        <v>46288</v>
      </c>
      <c r="C458" s="2" t="s">
        <v>41</v>
      </c>
      <c r="D458" s="2" t="s">
        <v>38</v>
      </c>
      <c r="E458" s="2" t="s">
        <v>47</v>
      </c>
      <c r="F458" s="2" t="s">
        <v>32</v>
      </c>
      <c r="G458" s="2" t="s">
        <v>19</v>
      </c>
      <c r="H458" s="2" t="n">
        <v>215.7</v>
      </c>
      <c r="I458" s="2" t="n">
        <v>8.8</v>
      </c>
      <c r="J458" s="2" t="s">
        <v>20</v>
      </c>
      <c r="K458" s="2"/>
      <c r="L458" s="3" t="n">
        <f aca="false">B458-WEEKDAY(B458,2)+1</f>
        <v>46286</v>
      </c>
      <c r="M458" s="4" t="n">
        <f aca="false">IFERROR(INDEX(02_Parâmetros!$B$14:$B$17,MATCH(C458,02_Parâmetros!$A$14:$A$17,0)),"")</f>
        <v>240</v>
      </c>
      <c r="N458" s="2" t="str">
        <f aca="false">IF(OR(H458="",M458=""),"",IF(H458&lt;=M458,"Sim","Não"))</f>
        <v>Sim</v>
      </c>
    </row>
    <row r="459" customFormat="false" ht="15" hidden="false" customHeight="false" outlineLevel="0" collapsed="false">
      <c r="A459" s="2" t="s">
        <v>496</v>
      </c>
      <c r="B459" s="3" t="n">
        <v>46288</v>
      </c>
      <c r="C459" s="2" t="s">
        <v>41</v>
      </c>
      <c r="D459" s="2" t="s">
        <v>16</v>
      </c>
      <c r="E459" s="2" t="s">
        <v>31</v>
      </c>
      <c r="F459" s="2" t="s">
        <v>18</v>
      </c>
      <c r="G459" s="2" t="s">
        <v>19</v>
      </c>
      <c r="H459" s="2" t="n">
        <v>529.6</v>
      </c>
      <c r="I459" s="2" t="n">
        <v>12.2</v>
      </c>
      <c r="J459" s="2" t="s">
        <v>20</v>
      </c>
      <c r="K459" s="2"/>
      <c r="L459" s="3" t="n">
        <f aca="false">B459-WEEKDAY(B459,2)+1</f>
        <v>46286</v>
      </c>
      <c r="M459" s="4" t="n">
        <f aca="false">IFERROR(INDEX(02_Parâmetros!$B$14:$B$17,MATCH(C459,02_Parâmetros!$A$14:$A$17,0)),"")</f>
        <v>240</v>
      </c>
      <c r="N459" s="2" t="str">
        <f aca="false">IF(OR(H459="",M459=""),"",IF(H459&lt;=M459,"Sim","Não"))</f>
        <v>Não</v>
      </c>
    </row>
    <row r="460" customFormat="false" ht="15" hidden="false" customHeight="false" outlineLevel="0" collapsed="false">
      <c r="A460" s="2" t="s">
        <v>497</v>
      </c>
      <c r="B460" s="3" t="n">
        <v>46288</v>
      </c>
      <c r="C460" s="2" t="s">
        <v>15</v>
      </c>
      <c r="D460" s="2" t="s">
        <v>16</v>
      </c>
      <c r="E460" s="2" t="s">
        <v>17</v>
      </c>
      <c r="F460" s="2" t="s">
        <v>42</v>
      </c>
      <c r="G460" s="2" t="s">
        <v>19</v>
      </c>
      <c r="H460" s="2" t="n">
        <v>0.3</v>
      </c>
      <c r="I460" s="2" t="n">
        <v>10.8</v>
      </c>
      <c r="J460" s="2" t="s">
        <v>25</v>
      </c>
      <c r="K460" s="2"/>
      <c r="L460" s="3" t="n">
        <f aca="false">B460-WEEKDAY(B460,2)+1</f>
        <v>46286</v>
      </c>
      <c r="M460" s="4" t="n">
        <f aca="false">IFERROR(INDEX(02_Parâmetros!$B$14:$B$17,MATCH(C460,02_Parâmetros!$A$14:$A$17,0)),"")</f>
        <v>1</v>
      </c>
      <c r="N460" s="2" t="str">
        <f aca="false">IF(OR(H460="",M460=""),"",IF(H460&lt;=M460,"Sim","Não"))</f>
        <v>Sim</v>
      </c>
    </row>
    <row r="461" customFormat="false" ht="15" hidden="false" customHeight="false" outlineLevel="0" collapsed="false">
      <c r="A461" s="2" t="s">
        <v>498</v>
      </c>
      <c r="B461" s="3" t="n">
        <v>46288</v>
      </c>
      <c r="C461" s="2" t="s">
        <v>27</v>
      </c>
      <c r="D461" s="2" t="s">
        <v>38</v>
      </c>
      <c r="E461" s="2" t="s">
        <v>47</v>
      </c>
      <c r="F461" s="2" t="s">
        <v>24</v>
      </c>
      <c r="G461" s="2" t="s">
        <v>19</v>
      </c>
      <c r="H461" s="2"/>
      <c r="I461" s="2" t="n">
        <v>10.8</v>
      </c>
      <c r="J461" s="2" t="s">
        <v>20</v>
      </c>
      <c r="K461" s="2"/>
      <c r="L461" s="3" t="n">
        <f aca="false">B461-WEEKDAY(B461,2)+1</f>
        <v>46286</v>
      </c>
      <c r="M461" s="4" t="n">
        <f aca="false">IFERROR(INDEX(02_Parâmetros!$B$14:$B$17,MATCH(C461,02_Parâmetros!$A$14:$A$17,0)),"")</f>
        <v>10</v>
      </c>
      <c r="N461" s="2" t="str">
        <f aca="false">IF(OR(H461="",M461=""),"",IF(H461&lt;=M461,"Sim","Não"))</f>
        <v/>
      </c>
    </row>
    <row r="462" customFormat="false" ht="15" hidden="false" customHeight="false" outlineLevel="0" collapsed="false">
      <c r="A462" s="2" t="s">
        <v>499</v>
      </c>
      <c r="B462" s="3" t="n">
        <v>46288</v>
      </c>
      <c r="C462" s="2" t="s">
        <v>44</v>
      </c>
      <c r="D462" s="2" t="s">
        <v>38</v>
      </c>
      <c r="E462" s="2" t="s">
        <v>39</v>
      </c>
      <c r="F462" s="2" t="s">
        <v>18</v>
      </c>
      <c r="G462" s="2" t="s">
        <v>19</v>
      </c>
      <c r="H462" s="2" t="n">
        <v>1.3</v>
      </c>
      <c r="I462" s="2" t="n">
        <v>8.7</v>
      </c>
      <c r="J462" s="2" t="s">
        <v>20</v>
      </c>
      <c r="K462" s="2" t="n">
        <v>5</v>
      </c>
      <c r="L462" s="3" t="n">
        <f aca="false">B462-WEEKDAY(B462,2)+1</f>
        <v>46286</v>
      </c>
      <c r="M462" s="4" t="n">
        <f aca="false">IFERROR(INDEX(02_Parâmetros!$B$14:$B$17,MATCH(C462,02_Parâmetros!$A$14:$A$17,0)),"")</f>
        <v>2</v>
      </c>
      <c r="N462" s="2" t="str">
        <f aca="false">IF(OR(H462="",M462=""),"",IF(H462&lt;=M462,"Sim","Não"))</f>
        <v>Sim</v>
      </c>
    </row>
    <row r="463" customFormat="false" ht="15" hidden="false" customHeight="false" outlineLevel="0" collapsed="false">
      <c r="A463" s="2" t="s">
        <v>500</v>
      </c>
      <c r="B463" s="3" t="n">
        <v>46288</v>
      </c>
      <c r="C463" s="2" t="s">
        <v>15</v>
      </c>
      <c r="D463" s="2" t="s">
        <v>22</v>
      </c>
      <c r="E463" s="2" t="s">
        <v>23</v>
      </c>
      <c r="F463" s="2" t="s">
        <v>42</v>
      </c>
      <c r="G463" s="2" t="s">
        <v>19</v>
      </c>
      <c r="H463" s="2" t="n">
        <v>0.7</v>
      </c>
      <c r="I463" s="2" t="n">
        <v>13.5</v>
      </c>
      <c r="J463" s="2" t="s">
        <v>20</v>
      </c>
      <c r="K463" s="2" t="n">
        <v>4</v>
      </c>
      <c r="L463" s="3" t="n">
        <f aca="false">B463-WEEKDAY(B463,2)+1</f>
        <v>46286</v>
      </c>
      <c r="M463" s="4" t="n">
        <f aca="false">IFERROR(INDEX(02_Parâmetros!$B$14:$B$17,MATCH(C463,02_Parâmetros!$A$14:$A$17,0)),"")</f>
        <v>1</v>
      </c>
      <c r="N463" s="2" t="str">
        <f aca="false">IF(OR(H463="",M463=""),"",IF(H463&lt;=M463,"Sim","Não"))</f>
        <v>Sim</v>
      </c>
    </row>
    <row r="464" customFormat="false" ht="15" hidden="false" customHeight="false" outlineLevel="0" collapsed="false">
      <c r="A464" s="2" t="s">
        <v>501</v>
      </c>
      <c r="B464" s="3" t="n">
        <v>46288</v>
      </c>
      <c r="C464" s="2" t="s">
        <v>15</v>
      </c>
      <c r="D464" s="2" t="s">
        <v>16</v>
      </c>
      <c r="E464" s="2" t="s">
        <v>17</v>
      </c>
      <c r="F464" s="2" t="s">
        <v>24</v>
      </c>
      <c r="G464" s="2" t="s">
        <v>19</v>
      </c>
      <c r="H464" s="2" t="n">
        <v>1</v>
      </c>
      <c r="I464" s="2" t="n">
        <v>15.5</v>
      </c>
      <c r="J464" s="2" t="s">
        <v>20</v>
      </c>
      <c r="K464" s="2"/>
      <c r="L464" s="3" t="n">
        <f aca="false">B464-WEEKDAY(B464,2)+1</f>
        <v>46286</v>
      </c>
      <c r="M464" s="4" t="n">
        <f aca="false">IFERROR(INDEX(02_Parâmetros!$B$14:$B$17,MATCH(C464,02_Parâmetros!$A$14:$A$17,0)),"")</f>
        <v>1</v>
      </c>
      <c r="N464" s="2" t="str">
        <f aca="false">IF(OR(H464="",M464=""),"",IF(H464&lt;=M464,"Sim","Não"))</f>
        <v>Sim</v>
      </c>
    </row>
    <row r="465" customFormat="false" ht="15" hidden="false" customHeight="false" outlineLevel="0" collapsed="false">
      <c r="A465" s="2" t="s">
        <v>502</v>
      </c>
      <c r="B465" s="3" t="n">
        <v>46288</v>
      </c>
      <c r="C465" s="2" t="s">
        <v>41</v>
      </c>
      <c r="D465" s="2" t="s">
        <v>38</v>
      </c>
      <c r="E465" s="2" t="s">
        <v>39</v>
      </c>
      <c r="F465" s="2" t="s">
        <v>42</v>
      </c>
      <c r="G465" s="2" t="s">
        <v>19</v>
      </c>
      <c r="H465" s="2" t="n">
        <v>515.7</v>
      </c>
      <c r="I465" s="2" t="n">
        <v>8.6</v>
      </c>
      <c r="J465" s="2" t="s">
        <v>20</v>
      </c>
      <c r="K465" s="2" t="n">
        <v>5</v>
      </c>
      <c r="L465" s="3" t="n">
        <f aca="false">B465-WEEKDAY(B465,2)+1</f>
        <v>46286</v>
      </c>
      <c r="M465" s="4" t="n">
        <f aca="false">IFERROR(INDEX(02_Parâmetros!$B$14:$B$17,MATCH(C465,02_Parâmetros!$A$14:$A$17,0)),"")</f>
        <v>240</v>
      </c>
      <c r="N465" s="2" t="str">
        <f aca="false">IF(OR(H465="",M465=""),"",IF(H465&lt;=M465,"Sim","Não"))</f>
        <v>Não</v>
      </c>
    </row>
    <row r="466" customFormat="false" ht="15" hidden="false" customHeight="false" outlineLevel="0" collapsed="false">
      <c r="A466" s="2" t="s">
        <v>503</v>
      </c>
      <c r="B466" s="3" t="n">
        <v>46288</v>
      </c>
      <c r="C466" s="2" t="s">
        <v>44</v>
      </c>
      <c r="D466" s="2" t="s">
        <v>22</v>
      </c>
      <c r="E466" s="2" t="s">
        <v>28</v>
      </c>
      <c r="F466" s="2" t="s">
        <v>34</v>
      </c>
      <c r="G466" s="2" t="s">
        <v>19</v>
      </c>
      <c r="H466" s="2" t="n">
        <v>0.5</v>
      </c>
      <c r="I466" s="2" t="n">
        <v>7.2</v>
      </c>
      <c r="J466" s="2" t="s">
        <v>20</v>
      </c>
      <c r="K466" s="2"/>
      <c r="L466" s="3" t="n">
        <f aca="false">B466-WEEKDAY(B466,2)+1</f>
        <v>46286</v>
      </c>
      <c r="M466" s="4" t="n">
        <f aca="false">IFERROR(INDEX(02_Parâmetros!$B$14:$B$17,MATCH(C466,02_Parâmetros!$A$14:$A$17,0)),"")</f>
        <v>2</v>
      </c>
      <c r="N466" s="2" t="str">
        <f aca="false">IF(OR(H466="",M466=""),"",IF(H466&lt;=M466,"Sim","Não"))</f>
        <v>Sim</v>
      </c>
    </row>
    <row r="467" customFormat="false" ht="15" hidden="false" customHeight="false" outlineLevel="0" collapsed="false">
      <c r="A467" s="2" t="s">
        <v>504</v>
      </c>
      <c r="B467" s="3" t="n">
        <v>46288</v>
      </c>
      <c r="C467" s="2" t="s">
        <v>27</v>
      </c>
      <c r="D467" s="2" t="s">
        <v>16</v>
      </c>
      <c r="E467" s="2" t="s">
        <v>31</v>
      </c>
      <c r="F467" s="2" t="s">
        <v>18</v>
      </c>
      <c r="G467" s="2" t="s">
        <v>19</v>
      </c>
      <c r="H467" s="2" t="n">
        <v>6.8</v>
      </c>
      <c r="I467" s="2" t="n">
        <v>7.5</v>
      </c>
      <c r="J467" s="2" t="s">
        <v>20</v>
      </c>
      <c r="K467" s="2"/>
      <c r="L467" s="3" t="n">
        <f aca="false">B467-WEEKDAY(B467,2)+1</f>
        <v>46286</v>
      </c>
      <c r="M467" s="4" t="n">
        <f aca="false">IFERROR(INDEX(02_Parâmetros!$B$14:$B$17,MATCH(C467,02_Parâmetros!$A$14:$A$17,0)),"")</f>
        <v>10</v>
      </c>
      <c r="N467" s="2" t="str">
        <f aca="false">IF(OR(H467="",M467=""),"",IF(H467&lt;=M467,"Sim","Não"))</f>
        <v>Sim</v>
      </c>
    </row>
    <row r="468" customFormat="false" ht="15" hidden="false" customHeight="false" outlineLevel="0" collapsed="false">
      <c r="A468" s="2" t="s">
        <v>505</v>
      </c>
      <c r="B468" s="3" t="n">
        <v>46288</v>
      </c>
      <c r="C468" s="2" t="s">
        <v>15</v>
      </c>
      <c r="D468" s="2" t="s">
        <v>16</v>
      </c>
      <c r="E468" s="2" t="s">
        <v>36</v>
      </c>
      <c r="F468" s="2" t="s">
        <v>70</v>
      </c>
      <c r="G468" s="2" t="s">
        <v>19</v>
      </c>
      <c r="H468" s="2" t="n">
        <v>0.9</v>
      </c>
      <c r="I468" s="2" t="n">
        <v>14.3</v>
      </c>
      <c r="J468" s="2" t="s">
        <v>25</v>
      </c>
      <c r="K468" s="2"/>
      <c r="L468" s="3" t="n">
        <f aca="false">B468-WEEKDAY(B468,2)+1</f>
        <v>46286</v>
      </c>
      <c r="M468" s="4" t="n">
        <f aca="false">IFERROR(INDEX(02_Parâmetros!$B$14:$B$17,MATCH(C468,02_Parâmetros!$A$14:$A$17,0)),"")</f>
        <v>1</v>
      </c>
      <c r="N468" s="2" t="str">
        <f aca="false">IF(OR(H468="",M468=""),"",IF(H468&lt;=M468,"Sim","Não"))</f>
        <v>Sim</v>
      </c>
    </row>
    <row r="469" customFormat="false" ht="15" hidden="false" customHeight="false" outlineLevel="0" collapsed="false">
      <c r="A469" s="2" t="s">
        <v>506</v>
      </c>
      <c r="B469" s="3" t="n">
        <v>46288</v>
      </c>
      <c r="C469" s="2" t="s">
        <v>15</v>
      </c>
      <c r="D469" s="2" t="s">
        <v>16</v>
      </c>
      <c r="E469" s="2" t="s">
        <v>36</v>
      </c>
      <c r="F469" s="2" t="s">
        <v>24</v>
      </c>
      <c r="G469" s="2" t="s">
        <v>19</v>
      </c>
      <c r="H469" s="2" t="n">
        <v>0.7</v>
      </c>
      <c r="I469" s="2" t="n">
        <v>11.7</v>
      </c>
      <c r="J469" s="2" t="s">
        <v>20</v>
      </c>
      <c r="K469" s="2"/>
      <c r="L469" s="3" t="n">
        <f aca="false">B469-WEEKDAY(B469,2)+1</f>
        <v>46286</v>
      </c>
      <c r="M469" s="4" t="n">
        <f aca="false">IFERROR(INDEX(02_Parâmetros!$B$14:$B$17,MATCH(C469,02_Parâmetros!$A$14:$A$17,0)),"")</f>
        <v>1</v>
      </c>
      <c r="N469" s="2" t="str">
        <f aca="false">IF(OR(H469="",M469=""),"",IF(H469&lt;=M469,"Sim","Não"))</f>
        <v>Sim</v>
      </c>
    </row>
    <row r="470" customFormat="false" ht="15" hidden="false" customHeight="false" outlineLevel="0" collapsed="false">
      <c r="A470" s="2" t="s">
        <v>507</v>
      </c>
      <c r="B470" s="3" t="n">
        <v>46288</v>
      </c>
      <c r="C470" s="2" t="s">
        <v>27</v>
      </c>
      <c r="D470" s="2" t="s">
        <v>16</v>
      </c>
      <c r="E470" s="2" t="s">
        <v>17</v>
      </c>
      <c r="F470" s="2" t="s">
        <v>42</v>
      </c>
      <c r="G470" s="2" t="s">
        <v>19</v>
      </c>
      <c r="H470" s="2" t="n">
        <v>7.1</v>
      </c>
      <c r="I470" s="2" t="n">
        <v>4.9</v>
      </c>
      <c r="J470" s="2" t="s">
        <v>20</v>
      </c>
      <c r="K470" s="2" t="n">
        <v>4</v>
      </c>
      <c r="L470" s="3" t="n">
        <f aca="false">B470-WEEKDAY(B470,2)+1</f>
        <v>46286</v>
      </c>
      <c r="M470" s="4" t="n">
        <f aca="false">IFERROR(INDEX(02_Parâmetros!$B$14:$B$17,MATCH(C470,02_Parâmetros!$A$14:$A$17,0)),"")</f>
        <v>10</v>
      </c>
      <c r="N470" s="2" t="str">
        <f aca="false">IF(OR(H470="",M470=""),"",IF(H470&lt;=M470,"Sim","Não"))</f>
        <v>Sim</v>
      </c>
    </row>
    <row r="471" customFormat="false" ht="15" hidden="false" customHeight="false" outlineLevel="0" collapsed="false">
      <c r="A471" s="2" t="s">
        <v>508</v>
      </c>
      <c r="B471" s="3" t="n">
        <v>46288</v>
      </c>
      <c r="C471" s="2" t="s">
        <v>44</v>
      </c>
      <c r="D471" s="2" t="s">
        <v>38</v>
      </c>
      <c r="E471" s="2" t="s">
        <v>47</v>
      </c>
      <c r="F471" s="2" t="s">
        <v>34</v>
      </c>
      <c r="G471" s="2" t="s">
        <v>19</v>
      </c>
      <c r="H471" s="2" t="n">
        <v>1.9</v>
      </c>
      <c r="I471" s="2" t="n">
        <v>9.4</v>
      </c>
      <c r="J471" s="2" t="s">
        <v>20</v>
      </c>
      <c r="K471" s="2"/>
      <c r="L471" s="3" t="n">
        <f aca="false">B471-WEEKDAY(B471,2)+1</f>
        <v>46286</v>
      </c>
      <c r="M471" s="4" t="n">
        <f aca="false">IFERROR(INDEX(02_Parâmetros!$B$14:$B$17,MATCH(C471,02_Parâmetros!$A$14:$A$17,0)),"")</f>
        <v>2</v>
      </c>
      <c r="N471" s="2" t="str">
        <f aca="false">IF(OR(H471="",M471=""),"",IF(H471&lt;=M471,"Sim","Não"))</f>
        <v>Sim</v>
      </c>
    </row>
    <row r="472" customFormat="false" ht="15" hidden="false" customHeight="false" outlineLevel="0" collapsed="false">
      <c r="A472" s="2" t="s">
        <v>509</v>
      </c>
      <c r="B472" s="3" t="n">
        <v>46288</v>
      </c>
      <c r="C472" s="2" t="s">
        <v>27</v>
      </c>
      <c r="D472" s="2" t="s">
        <v>38</v>
      </c>
      <c r="E472" s="2" t="s">
        <v>39</v>
      </c>
      <c r="F472" s="2" t="s">
        <v>70</v>
      </c>
      <c r="G472" s="2" t="s">
        <v>19</v>
      </c>
      <c r="H472" s="2" t="n">
        <v>5.6</v>
      </c>
      <c r="I472" s="2" t="n">
        <v>5.1</v>
      </c>
      <c r="J472" s="2" t="s">
        <v>25</v>
      </c>
      <c r="K472" s="2"/>
      <c r="L472" s="3" t="n">
        <f aca="false">B472-WEEKDAY(B472,2)+1</f>
        <v>46286</v>
      </c>
      <c r="M472" s="4" t="n">
        <f aca="false">IFERROR(INDEX(02_Parâmetros!$B$14:$B$17,MATCH(C472,02_Parâmetros!$A$14:$A$17,0)),"")</f>
        <v>10</v>
      </c>
      <c r="N472" s="2" t="str">
        <f aca="false">IF(OR(H472="",M472=""),"",IF(H472&lt;=M472,"Sim","Não"))</f>
        <v>Sim</v>
      </c>
    </row>
    <row r="473" customFormat="false" ht="15" hidden="false" customHeight="false" outlineLevel="0" collapsed="false">
      <c r="A473" s="2" t="s">
        <v>510</v>
      </c>
      <c r="B473" s="3" t="n">
        <v>46289</v>
      </c>
      <c r="C473" s="2" t="s">
        <v>27</v>
      </c>
      <c r="D473" s="2" t="s">
        <v>16</v>
      </c>
      <c r="E473" s="2" t="s">
        <v>36</v>
      </c>
      <c r="F473" s="2" t="s">
        <v>34</v>
      </c>
      <c r="G473" s="2" t="s">
        <v>19</v>
      </c>
      <c r="H473" s="2" t="n">
        <v>3.2</v>
      </c>
      <c r="I473" s="2" t="n">
        <v>4.2</v>
      </c>
      <c r="J473" s="2" t="s">
        <v>20</v>
      </c>
      <c r="K473" s="2"/>
      <c r="L473" s="3" t="n">
        <f aca="false">B473-WEEKDAY(B473,2)+1</f>
        <v>46286</v>
      </c>
      <c r="M473" s="4" t="n">
        <f aca="false">IFERROR(INDEX(02_Parâmetros!$B$14:$B$17,MATCH(C473,02_Parâmetros!$A$14:$A$17,0)),"")</f>
        <v>10</v>
      </c>
      <c r="N473" s="2" t="str">
        <f aca="false">IF(OR(H473="",M473=""),"",IF(H473&lt;=M473,"Sim","Não"))</f>
        <v>Sim</v>
      </c>
    </row>
    <row r="474" customFormat="false" ht="15" hidden="false" customHeight="false" outlineLevel="0" collapsed="false">
      <c r="A474" s="2" t="s">
        <v>511</v>
      </c>
      <c r="B474" s="3" t="n">
        <v>46289</v>
      </c>
      <c r="C474" s="2" t="s">
        <v>27</v>
      </c>
      <c r="D474" s="2" t="s">
        <v>16</v>
      </c>
      <c r="E474" s="2" t="s">
        <v>17</v>
      </c>
      <c r="F474" s="2" t="s">
        <v>18</v>
      </c>
      <c r="G474" s="2" t="s">
        <v>19</v>
      </c>
      <c r="H474" s="2" t="n">
        <v>4.4</v>
      </c>
      <c r="I474" s="2" t="n">
        <v>8.4</v>
      </c>
      <c r="J474" s="2" t="s">
        <v>25</v>
      </c>
      <c r="K474" s="2"/>
      <c r="L474" s="3" t="n">
        <f aca="false">B474-WEEKDAY(B474,2)+1</f>
        <v>46286</v>
      </c>
      <c r="M474" s="4" t="n">
        <f aca="false">IFERROR(INDEX(02_Parâmetros!$B$14:$B$17,MATCH(C474,02_Parâmetros!$A$14:$A$17,0)),"")</f>
        <v>10</v>
      </c>
      <c r="N474" s="2" t="str">
        <f aca="false">IF(OR(H474="",M474=""),"",IF(H474&lt;=M474,"Sim","Não"))</f>
        <v>Sim</v>
      </c>
    </row>
    <row r="475" customFormat="false" ht="15" hidden="false" customHeight="false" outlineLevel="0" collapsed="false">
      <c r="A475" s="2" t="s">
        <v>512</v>
      </c>
      <c r="B475" s="3" t="n">
        <v>46289</v>
      </c>
      <c r="C475" s="2" t="s">
        <v>27</v>
      </c>
      <c r="D475" s="2" t="s">
        <v>16</v>
      </c>
      <c r="E475" s="2" t="s">
        <v>36</v>
      </c>
      <c r="F475" s="2" t="s">
        <v>24</v>
      </c>
      <c r="G475" s="2" t="s">
        <v>19</v>
      </c>
      <c r="H475" s="2" t="n">
        <v>9.5</v>
      </c>
      <c r="I475" s="2" t="n">
        <v>7</v>
      </c>
      <c r="J475" s="2" t="s">
        <v>20</v>
      </c>
      <c r="K475" s="2"/>
      <c r="L475" s="3" t="n">
        <f aca="false">B475-WEEKDAY(B475,2)+1</f>
        <v>46286</v>
      </c>
      <c r="M475" s="4" t="n">
        <f aca="false">IFERROR(INDEX(02_Parâmetros!$B$14:$B$17,MATCH(C475,02_Parâmetros!$A$14:$A$17,0)),"")</f>
        <v>10</v>
      </c>
      <c r="N475" s="2" t="str">
        <f aca="false">IF(OR(H475="",M475=""),"",IF(H475&lt;=M475,"Sim","Não"))</f>
        <v>Sim</v>
      </c>
    </row>
    <row r="476" customFormat="false" ht="15" hidden="false" customHeight="false" outlineLevel="0" collapsed="false">
      <c r="A476" s="2" t="s">
        <v>513</v>
      </c>
      <c r="B476" s="3" t="n">
        <v>46289</v>
      </c>
      <c r="C476" s="2" t="s">
        <v>27</v>
      </c>
      <c r="D476" s="2" t="s">
        <v>38</v>
      </c>
      <c r="E476" s="2" t="s">
        <v>56</v>
      </c>
      <c r="F476" s="2" t="s">
        <v>42</v>
      </c>
      <c r="G476" s="2" t="s">
        <v>19</v>
      </c>
      <c r="H476" s="2" t="n">
        <v>7.7</v>
      </c>
      <c r="I476" s="2" t="n">
        <v>4.9</v>
      </c>
      <c r="J476" s="2" t="s">
        <v>20</v>
      </c>
      <c r="K476" s="2"/>
      <c r="L476" s="3" t="n">
        <f aca="false">B476-WEEKDAY(B476,2)+1</f>
        <v>46286</v>
      </c>
      <c r="M476" s="4" t="n">
        <f aca="false">IFERROR(INDEX(02_Parâmetros!$B$14:$B$17,MATCH(C476,02_Parâmetros!$A$14:$A$17,0)),"")</f>
        <v>10</v>
      </c>
      <c r="N476" s="2" t="str">
        <f aca="false">IF(OR(H476="",M476=""),"",IF(H476&lt;=M476,"Sim","Não"))</f>
        <v>Sim</v>
      </c>
    </row>
    <row r="477" customFormat="false" ht="15" hidden="false" customHeight="false" outlineLevel="0" collapsed="false">
      <c r="A477" s="2" t="s">
        <v>514</v>
      </c>
      <c r="B477" s="3" t="n">
        <v>46289</v>
      </c>
      <c r="C477" s="2" t="s">
        <v>27</v>
      </c>
      <c r="D477" s="2" t="s">
        <v>16</v>
      </c>
      <c r="E477" s="2" t="s">
        <v>36</v>
      </c>
      <c r="F477" s="2" t="s">
        <v>24</v>
      </c>
      <c r="G477" s="2" t="s">
        <v>19</v>
      </c>
      <c r="H477" s="2" t="n">
        <v>4.2</v>
      </c>
      <c r="I477" s="2" t="n">
        <v>15.2</v>
      </c>
      <c r="J477" s="2" t="s">
        <v>20</v>
      </c>
      <c r="K477" s="2"/>
      <c r="L477" s="3" t="n">
        <f aca="false">B477-WEEKDAY(B477,2)+1</f>
        <v>46286</v>
      </c>
      <c r="M477" s="4" t="n">
        <f aca="false">IFERROR(INDEX(02_Parâmetros!$B$14:$B$17,MATCH(C477,02_Parâmetros!$A$14:$A$17,0)),"")</f>
        <v>10</v>
      </c>
      <c r="N477" s="2" t="str">
        <f aca="false">IF(OR(H477="",M477=""),"",IF(H477&lt;=M477,"Sim","Não"))</f>
        <v>Sim</v>
      </c>
    </row>
    <row r="478" customFormat="false" ht="15" hidden="false" customHeight="false" outlineLevel="0" collapsed="false">
      <c r="A478" s="2" t="s">
        <v>515</v>
      </c>
      <c r="B478" s="3" t="n">
        <v>46289</v>
      </c>
      <c r="C478" s="2" t="s">
        <v>41</v>
      </c>
      <c r="D478" s="2" t="s">
        <v>16</v>
      </c>
      <c r="E478" s="2" t="s">
        <v>31</v>
      </c>
      <c r="F478" s="2" t="s">
        <v>34</v>
      </c>
      <c r="G478" s="2" t="s">
        <v>19</v>
      </c>
      <c r="H478" s="2" t="n">
        <v>119</v>
      </c>
      <c r="I478" s="2" t="n">
        <v>7.4</v>
      </c>
      <c r="J478" s="2" t="s">
        <v>20</v>
      </c>
      <c r="K478" s="2"/>
      <c r="L478" s="3" t="n">
        <f aca="false">B478-WEEKDAY(B478,2)+1</f>
        <v>46286</v>
      </c>
      <c r="M478" s="4" t="n">
        <f aca="false">IFERROR(INDEX(02_Parâmetros!$B$14:$B$17,MATCH(C478,02_Parâmetros!$A$14:$A$17,0)),"")</f>
        <v>240</v>
      </c>
      <c r="N478" s="2" t="str">
        <f aca="false">IF(OR(H478="",M478=""),"",IF(H478&lt;=M478,"Sim","Não"))</f>
        <v>Sim</v>
      </c>
    </row>
    <row r="479" customFormat="false" ht="15" hidden="false" customHeight="false" outlineLevel="0" collapsed="false">
      <c r="A479" s="2" t="s">
        <v>516</v>
      </c>
      <c r="B479" s="3" t="n">
        <v>46289</v>
      </c>
      <c r="C479" s="2" t="s">
        <v>27</v>
      </c>
      <c r="D479" s="2" t="s">
        <v>22</v>
      </c>
      <c r="E479" s="2" t="s">
        <v>23</v>
      </c>
      <c r="F479" s="2" t="s">
        <v>42</v>
      </c>
      <c r="G479" s="2" t="s">
        <v>19</v>
      </c>
      <c r="H479" s="2" t="n">
        <v>2.7</v>
      </c>
      <c r="I479" s="2" t="n">
        <v>10.8</v>
      </c>
      <c r="J479" s="2" t="s">
        <v>25</v>
      </c>
      <c r="K479" s="2"/>
      <c r="L479" s="3" t="n">
        <f aca="false">B479-WEEKDAY(B479,2)+1</f>
        <v>46286</v>
      </c>
      <c r="M479" s="4" t="n">
        <f aca="false">IFERROR(INDEX(02_Parâmetros!$B$14:$B$17,MATCH(C479,02_Parâmetros!$A$14:$A$17,0)),"")</f>
        <v>10</v>
      </c>
      <c r="N479" s="2" t="str">
        <f aca="false">IF(OR(H479="",M479=""),"",IF(H479&lt;=M479,"Sim","Não"))</f>
        <v>Sim</v>
      </c>
    </row>
    <row r="480" customFormat="false" ht="15" hidden="false" customHeight="false" outlineLevel="0" collapsed="false">
      <c r="A480" s="2" t="s">
        <v>517</v>
      </c>
      <c r="B480" s="3" t="n">
        <v>46289</v>
      </c>
      <c r="C480" s="2" t="s">
        <v>15</v>
      </c>
      <c r="D480" s="2" t="s">
        <v>22</v>
      </c>
      <c r="E480" s="2" t="s">
        <v>23</v>
      </c>
      <c r="F480" s="2" t="s">
        <v>18</v>
      </c>
      <c r="G480" s="2" t="s">
        <v>19</v>
      </c>
      <c r="H480" s="2" t="n">
        <v>0.7</v>
      </c>
      <c r="I480" s="2" t="n">
        <v>18.6</v>
      </c>
      <c r="J480" s="2" t="s">
        <v>20</v>
      </c>
      <c r="K480" s="2"/>
      <c r="L480" s="3" t="n">
        <f aca="false">B480-WEEKDAY(B480,2)+1</f>
        <v>46286</v>
      </c>
      <c r="M480" s="4" t="n">
        <f aca="false">IFERROR(INDEX(02_Parâmetros!$B$14:$B$17,MATCH(C480,02_Parâmetros!$A$14:$A$17,0)),"")</f>
        <v>1</v>
      </c>
      <c r="N480" s="2" t="str">
        <f aca="false">IF(OR(H480="",M480=""),"",IF(H480&lt;=M480,"Sim","Não"))</f>
        <v>Sim</v>
      </c>
    </row>
    <row r="481" customFormat="false" ht="15" hidden="false" customHeight="false" outlineLevel="0" collapsed="false">
      <c r="A481" s="2" t="s">
        <v>518</v>
      </c>
      <c r="B481" s="3" t="n">
        <v>46289</v>
      </c>
      <c r="C481" s="2" t="s">
        <v>44</v>
      </c>
      <c r="D481" s="2" t="s">
        <v>16</v>
      </c>
      <c r="E481" s="2" t="s">
        <v>36</v>
      </c>
      <c r="F481" s="2" t="s">
        <v>18</v>
      </c>
      <c r="G481" s="2" t="s">
        <v>19</v>
      </c>
      <c r="H481" s="2" t="n">
        <v>0.6</v>
      </c>
      <c r="I481" s="2" t="n">
        <v>8.4</v>
      </c>
      <c r="J481" s="2" t="s">
        <v>20</v>
      </c>
      <c r="K481" s="2"/>
      <c r="L481" s="3" t="n">
        <f aca="false">B481-WEEKDAY(B481,2)+1</f>
        <v>46286</v>
      </c>
      <c r="M481" s="4" t="n">
        <f aca="false">IFERROR(INDEX(02_Parâmetros!$B$14:$B$17,MATCH(C481,02_Parâmetros!$A$14:$A$17,0)),"")</f>
        <v>2</v>
      </c>
      <c r="N481" s="2" t="str">
        <f aca="false">IF(OR(H481="",M481=""),"",IF(H481&lt;=M481,"Sim","Não"))</f>
        <v>Sim</v>
      </c>
    </row>
    <row r="482" customFormat="false" ht="15" hidden="false" customHeight="false" outlineLevel="0" collapsed="false">
      <c r="A482" s="2" t="s">
        <v>519</v>
      </c>
      <c r="B482" s="3" t="n">
        <v>46289</v>
      </c>
      <c r="C482" s="2" t="s">
        <v>27</v>
      </c>
      <c r="D482" s="2" t="s">
        <v>16</v>
      </c>
      <c r="E482" s="2" t="s">
        <v>31</v>
      </c>
      <c r="F482" s="2" t="s">
        <v>32</v>
      </c>
      <c r="G482" s="2" t="s">
        <v>19</v>
      </c>
      <c r="H482" s="2" t="n">
        <v>2.5</v>
      </c>
      <c r="I482" s="2" t="n">
        <v>4.8</v>
      </c>
      <c r="J482" s="2" t="s">
        <v>25</v>
      </c>
      <c r="K482" s="2"/>
      <c r="L482" s="3" t="n">
        <f aca="false">B482-WEEKDAY(B482,2)+1</f>
        <v>46286</v>
      </c>
      <c r="M482" s="4" t="n">
        <f aca="false">IFERROR(INDEX(02_Parâmetros!$B$14:$B$17,MATCH(C482,02_Parâmetros!$A$14:$A$17,0)),"")</f>
        <v>10</v>
      </c>
      <c r="N482" s="2" t="str">
        <f aca="false">IF(OR(H482="",M482=""),"",IF(H482&lt;=M482,"Sim","Não"))</f>
        <v>Sim</v>
      </c>
    </row>
    <row r="483" customFormat="false" ht="15" hidden="false" customHeight="false" outlineLevel="0" collapsed="false">
      <c r="A483" s="2" t="s">
        <v>520</v>
      </c>
      <c r="B483" s="3" t="n">
        <v>46289</v>
      </c>
      <c r="C483" s="2" t="s">
        <v>41</v>
      </c>
      <c r="D483" s="2" t="s">
        <v>38</v>
      </c>
      <c r="E483" s="2" t="s">
        <v>47</v>
      </c>
      <c r="F483" s="2" t="s">
        <v>24</v>
      </c>
      <c r="G483" s="2" t="s">
        <v>19</v>
      </c>
      <c r="H483" s="2" t="n">
        <v>361.7</v>
      </c>
      <c r="I483" s="2" t="n">
        <v>16.4</v>
      </c>
      <c r="J483" s="2" t="s">
        <v>25</v>
      </c>
      <c r="K483" s="2" t="n">
        <v>4</v>
      </c>
      <c r="L483" s="3" t="n">
        <f aca="false">B483-WEEKDAY(B483,2)+1</f>
        <v>46286</v>
      </c>
      <c r="M483" s="4" t="n">
        <f aca="false">IFERROR(INDEX(02_Parâmetros!$B$14:$B$17,MATCH(C483,02_Parâmetros!$A$14:$A$17,0)),"")</f>
        <v>240</v>
      </c>
      <c r="N483" s="2" t="str">
        <f aca="false">IF(OR(H483="",M483=""),"",IF(H483&lt;=M483,"Sim","Não"))</f>
        <v>Não</v>
      </c>
    </row>
    <row r="484" customFormat="false" ht="15" hidden="false" customHeight="false" outlineLevel="0" collapsed="false">
      <c r="A484" s="2" t="s">
        <v>521</v>
      </c>
      <c r="B484" s="3" t="n">
        <v>46289</v>
      </c>
      <c r="C484" s="2" t="s">
        <v>41</v>
      </c>
      <c r="D484" s="2" t="s">
        <v>16</v>
      </c>
      <c r="E484" s="2" t="s">
        <v>31</v>
      </c>
      <c r="F484" s="2" t="s">
        <v>70</v>
      </c>
      <c r="G484" s="2" t="s">
        <v>19</v>
      </c>
      <c r="H484" s="2" t="n">
        <v>217.1</v>
      </c>
      <c r="I484" s="2" t="n">
        <v>11.6</v>
      </c>
      <c r="J484" s="2" t="s">
        <v>20</v>
      </c>
      <c r="K484" s="2"/>
      <c r="L484" s="3" t="n">
        <f aca="false">B484-WEEKDAY(B484,2)+1</f>
        <v>46286</v>
      </c>
      <c r="M484" s="4" t="n">
        <f aca="false">IFERROR(INDEX(02_Parâmetros!$B$14:$B$17,MATCH(C484,02_Parâmetros!$A$14:$A$17,0)),"")</f>
        <v>240</v>
      </c>
      <c r="N484" s="2" t="str">
        <f aca="false">IF(OR(H484="",M484=""),"",IF(H484&lt;=M484,"Sim","Não"))</f>
        <v>Sim</v>
      </c>
    </row>
    <row r="485" customFormat="false" ht="15" hidden="false" customHeight="false" outlineLevel="0" collapsed="false">
      <c r="A485" s="2" t="s">
        <v>522</v>
      </c>
      <c r="B485" s="3" t="n">
        <v>46289</v>
      </c>
      <c r="C485" s="2" t="s">
        <v>41</v>
      </c>
      <c r="D485" s="2" t="s">
        <v>38</v>
      </c>
      <c r="E485" s="2" t="s">
        <v>47</v>
      </c>
      <c r="F485" s="2" t="s">
        <v>42</v>
      </c>
      <c r="G485" s="2" t="s">
        <v>19</v>
      </c>
      <c r="H485" s="2" t="n">
        <v>122.8</v>
      </c>
      <c r="I485" s="2" t="n">
        <v>8.2</v>
      </c>
      <c r="J485" s="2" t="s">
        <v>20</v>
      </c>
      <c r="K485" s="2"/>
      <c r="L485" s="3" t="n">
        <f aca="false">B485-WEEKDAY(B485,2)+1</f>
        <v>46286</v>
      </c>
      <c r="M485" s="4" t="n">
        <f aca="false">IFERROR(INDEX(02_Parâmetros!$B$14:$B$17,MATCH(C485,02_Parâmetros!$A$14:$A$17,0)),"")</f>
        <v>240</v>
      </c>
      <c r="N485" s="2" t="str">
        <f aca="false">IF(OR(H485="",M485=""),"",IF(H485&lt;=M485,"Sim","Não"))</f>
        <v>Sim</v>
      </c>
    </row>
    <row r="486" customFormat="false" ht="15" hidden="false" customHeight="false" outlineLevel="0" collapsed="false">
      <c r="A486" s="2" t="s">
        <v>523</v>
      </c>
      <c r="B486" s="3" t="n">
        <v>46289</v>
      </c>
      <c r="C486" s="2" t="s">
        <v>41</v>
      </c>
      <c r="D486" s="2" t="s">
        <v>16</v>
      </c>
      <c r="E486" s="2" t="s">
        <v>31</v>
      </c>
      <c r="F486" s="2" t="s">
        <v>18</v>
      </c>
      <c r="G486" s="2" t="s">
        <v>19</v>
      </c>
      <c r="H486" s="2" t="n">
        <v>519.1</v>
      </c>
      <c r="I486" s="2" t="n">
        <v>8.4</v>
      </c>
      <c r="J486" s="2" t="s">
        <v>20</v>
      </c>
      <c r="K486" s="2"/>
      <c r="L486" s="3" t="n">
        <f aca="false">B486-WEEKDAY(B486,2)+1</f>
        <v>46286</v>
      </c>
      <c r="M486" s="4" t="n">
        <f aca="false">IFERROR(INDEX(02_Parâmetros!$B$14:$B$17,MATCH(C486,02_Parâmetros!$A$14:$A$17,0)),"")</f>
        <v>240</v>
      </c>
      <c r="N486" s="2" t="str">
        <f aca="false">IF(OR(H486="",M486=""),"",IF(H486&lt;=M486,"Sim","Não"))</f>
        <v>Não</v>
      </c>
    </row>
    <row r="487" customFormat="false" ht="15" hidden="false" customHeight="false" outlineLevel="0" collapsed="false">
      <c r="A487" s="2" t="s">
        <v>524</v>
      </c>
      <c r="B487" s="3" t="n">
        <v>46289</v>
      </c>
      <c r="C487" s="2" t="s">
        <v>27</v>
      </c>
      <c r="D487" s="2" t="s">
        <v>16</v>
      </c>
      <c r="E487" s="2" t="s">
        <v>17</v>
      </c>
      <c r="F487" s="2" t="s">
        <v>42</v>
      </c>
      <c r="G487" s="2" t="s">
        <v>19</v>
      </c>
      <c r="H487" s="2" t="n">
        <v>8</v>
      </c>
      <c r="I487" s="2" t="n">
        <v>8.6</v>
      </c>
      <c r="J487" s="2" t="s">
        <v>20</v>
      </c>
      <c r="K487" s="2"/>
      <c r="L487" s="3" t="n">
        <f aca="false">B487-WEEKDAY(B487,2)+1</f>
        <v>46286</v>
      </c>
      <c r="M487" s="4" t="n">
        <f aca="false">IFERROR(INDEX(02_Parâmetros!$B$14:$B$17,MATCH(C487,02_Parâmetros!$A$14:$A$17,0)),"")</f>
        <v>10</v>
      </c>
      <c r="N487" s="2" t="str">
        <f aca="false">IF(OR(H487="",M487=""),"",IF(H487&lt;=M487,"Sim","Não"))</f>
        <v>Sim</v>
      </c>
    </row>
    <row r="488" customFormat="false" ht="15" hidden="false" customHeight="false" outlineLevel="0" collapsed="false">
      <c r="A488" s="2" t="s">
        <v>525</v>
      </c>
      <c r="B488" s="3" t="n">
        <v>46289</v>
      </c>
      <c r="C488" s="2" t="s">
        <v>44</v>
      </c>
      <c r="D488" s="2" t="s">
        <v>22</v>
      </c>
      <c r="E488" s="2" t="s">
        <v>28</v>
      </c>
      <c r="F488" s="2" t="s">
        <v>24</v>
      </c>
      <c r="G488" s="2" t="s">
        <v>19</v>
      </c>
      <c r="H488" s="2" t="n">
        <v>0.9</v>
      </c>
      <c r="I488" s="2" t="n">
        <v>8.6</v>
      </c>
      <c r="J488" s="2" t="s">
        <v>25</v>
      </c>
      <c r="K488" s="2"/>
      <c r="L488" s="3" t="n">
        <f aca="false">B488-WEEKDAY(B488,2)+1</f>
        <v>46286</v>
      </c>
      <c r="M488" s="4" t="n">
        <f aca="false">IFERROR(INDEX(02_Parâmetros!$B$14:$B$17,MATCH(C488,02_Parâmetros!$A$14:$A$17,0)),"")</f>
        <v>2</v>
      </c>
      <c r="N488" s="2" t="str">
        <f aca="false">IF(OR(H488="",M488=""),"",IF(H488&lt;=M488,"Sim","Não"))</f>
        <v>Sim</v>
      </c>
    </row>
    <row r="489" customFormat="false" ht="15" hidden="false" customHeight="false" outlineLevel="0" collapsed="false">
      <c r="A489" s="2" t="s">
        <v>526</v>
      </c>
      <c r="B489" s="3" t="n">
        <v>46289</v>
      </c>
      <c r="C489" s="2" t="s">
        <v>44</v>
      </c>
      <c r="D489" s="2" t="s">
        <v>22</v>
      </c>
      <c r="E489" s="2" t="s">
        <v>23</v>
      </c>
      <c r="F489" s="2" t="s">
        <v>70</v>
      </c>
      <c r="G489" s="2" t="s">
        <v>78</v>
      </c>
      <c r="H489" s="2" t="n">
        <v>0.9</v>
      </c>
      <c r="I489" s="2" t="n">
        <v>7.3</v>
      </c>
      <c r="J489" s="2"/>
      <c r="K489" s="2"/>
      <c r="L489" s="3" t="n">
        <f aca="false">B489-WEEKDAY(B489,2)+1</f>
        <v>46286</v>
      </c>
      <c r="M489" s="4" t="n">
        <f aca="false">IFERROR(INDEX(02_Parâmetros!$B$14:$B$17,MATCH(C489,02_Parâmetros!$A$14:$A$17,0)),"")</f>
        <v>2</v>
      </c>
      <c r="N489" s="2" t="str">
        <f aca="false">IF(OR(H489="",M489=""),"",IF(H489&lt;=M489,"Sim","Não"))</f>
        <v>Sim</v>
      </c>
    </row>
    <row r="490" customFormat="false" ht="15" hidden="false" customHeight="false" outlineLevel="0" collapsed="false">
      <c r="A490" s="2" t="s">
        <v>527</v>
      </c>
      <c r="B490" s="3" t="n">
        <v>46289</v>
      </c>
      <c r="C490" s="2" t="s">
        <v>27</v>
      </c>
      <c r="D490" s="2" t="s">
        <v>22</v>
      </c>
      <c r="E490" s="2" t="s">
        <v>23</v>
      </c>
      <c r="F490" s="2" t="s">
        <v>18</v>
      </c>
      <c r="G490" s="2" t="s">
        <v>19</v>
      </c>
      <c r="H490" s="2" t="n">
        <v>6.6</v>
      </c>
      <c r="I490" s="2" t="n">
        <v>6.5</v>
      </c>
      <c r="J490" s="2" t="s">
        <v>25</v>
      </c>
      <c r="K490" s="2" t="n">
        <v>3</v>
      </c>
      <c r="L490" s="3" t="n">
        <f aca="false">B490-WEEKDAY(B490,2)+1</f>
        <v>46286</v>
      </c>
      <c r="M490" s="4" t="n">
        <f aca="false">IFERROR(INDEX(02_Parâmetros!$B$14:$B$17,MATCH(C490,02_Parâmetros!$A$14:$A$17,0)),"")</f>
        <v>10</v>
      </c>
      <c r="N490" s="2" t="str">
        <f aca="false">IF(OR(H490="",M490=""),"",IF(H490&lt;=M490,"Sim","Não"))</f>
        <v>Sim</v>
      </c>
    </row>
    <row r="491" customFormat="false" ht="15" hidden="false" customHeight="false" outlineLevel="0" collapsed="false">
      <c r="A491" s="2" t="s">
        <v>528</v>
      </c>
      <c r="B491" s="3" t="n">
        <v>46289</v>
      </c>
      <c r="C491" s="2" t="s">
        <v>27</v>
      </c>
      <c r="D491" s="2" t="s">
        <v>38</v>
      </c>
      <c r="E491" s="2" t="s">
        <v>56</v>
      </c>
      <c r="F491" s="2" t="s">
        <v>42</v>
      </c>
      <c r="G491" s="2" t="s">
        <v>19</v>
      </c>
      <c r="H491" s="2" t="n">
        <v>9.4</v>
      </c>
      <c r="I491" s="2" t="n">
        <v>12.6</v>
      </c>
      <c r="J491" s="2" t="s">
        <v>20</v>
      </c>
      <c r="K491" s="2"/>
      <c r="L491" s="3" t="n">
        <f aca="false">B491-WEEKDAY(B491,2)+1</f>
        <v>46286</v>
      </c>
      <c r="M491" s="4" t="n">
        <f aca="false">IFERROR(INDEX(02_Parâmetros!$B$14:$B$17,MATCH(C491,02_Parâmetros!$A$14:$A$17,0)),"")</f>
        <v>10</v>
      </c>
      <c r="N491" s="2" t="str">
        <f aca="false">IF(OR(H491="",M491=""),"",IF(H491&lt;=M491,"Sim","Não"))</f>
        <v>Sim</v>
      </c>
    </row>
    <row r="492" customFormat="false" ht="15" hidden="false" customHeight="false" outlineLevel="0" collapsed="false">
      <c r="A492" s="2" t="s">
        <v>529</v>
      </c>
      <c r="B492" s="3" t="n">
        <v>46289</v>
      </c>
      <c r="C492" s="2" t="s">
        <v>44</v>
      </c>
      <c r="D492" s="2" t="s">
        <v>16</v>
      </c>
      <c r="E492" s="2" t="s">
        <v>31</v>
      </c>
      <c r="F492" s="2" t="s">
        <v>18</v>
      </c>
      <c r="G492" s="2" t="s">
        <v>19</v>
      </c>
      <c r="H492" s="2" t="n">
        <v>1</v>
      </c>
      <c r="I492" s="2" t="n">
        <v>10.4</v>
      </c>
      <c r="J492" s="2" t="s">
        <v>25</v>
      </c>
      <c r="K492" s="2"/>
      <c r="L492" s="3" t="n">
        <f aca="false">B492-WEEKDAY(B492,2)+1</f>
        <v>46286</v>
      </c>
      <c r="M492" s="4" t="n">
        <f aca="false">IFERROR(INDEX(02_Parâmetros!$B$14:$B$17,MATCH(C492,02_Parâmetros!$A$14:$A$17,0)),"")</f>
        <v>2</v>
      </c>
      <c r="N492" s="2" t="str">
        <f aca="false">IF(OR(H492="",M492=""),"",IF(H492&lt;=M492,"Sim","Não"))</f>
        <v>Sim</v>
      </c>
    </row>
    <row r="493" customFormat="false" ht="15" hidden="false" customHeight="false" outlineLevel="0" collapsed="false">
      <c r="A493" s="2" t="s">
        <v>530</v>
      </c>
      <c r="B493" s="3" t="n">
        <v>46289</v>
      </c>
      <c r="C493" s="2" t="s">
        <v>44</v>
      </c>
      <c r="D493" s="2" t="s">
        <v>38</v>
      </c>
      <c r="E493" s="2" t="s">
        <v>47</v>
      </c>
      <c r="F493" s="2" t="s">
        <v>32</v>
      </c>
      <c r="G493" s="2" t="s">
        <v>19</v>
      </c>
      <c r="H493" s="2" t="n">
        <v>0.9</v>
      </c>
      <c r="I493" s="2" t="n">
        <v>5.1</v>
      </c>
      <c r="J493" s="2" t="s">
        <v>20</v>
      </c>
      <c r="K493" s="2"/>
      <c r="L493" s="3" t="n">
        <f aca="false">B493-WEEKDAY(B493,2)+1</f>
        <v>46286</v>
      </c>
      <c r="M493" s="4" t="n">
        <f aca="false">IFERROR(INDEX(02_Parâmetros!$B$14:$B$17,MATCH(C493,02_Parâmetros!$A$14:$A$17,0)),"")</f>
        <v>2</v>
      </c>
      <c r="N493" s="2" t="str">
        <f aca="false">IF(OR(H493="",M493=""),"",IF(H493&lt;=M493,"Sim","Não"))</f>
        <v>Sim</v>
      </c>
    </row>
    <row r="494" customFormat="false" ht="15" hidden="false" customHeight="false" outlineLevel="0" collapsed="false">
      <c r="A494" s="2" t="s">
        <v>531</v>
      </c>
      <c r="B494" s="3" t="n">
        <v>46289</v>
      </c>
      <c r="C494" s="2" t="s">
        <v>44</v>
      </c>
      <c r="D494" s="2" t="s">
        <v>16</v>
      </c>
      <c r="E494" s="2" t="s">
        <v>36</v>
      </c>
      <c r="F494" s="2" t="s">
        <v>24</v>
      </c>
      <c r="G494" s="2" t="s">
        <v>19</v>
      </c>
      <c r="H494" s="2" t="n">
        <v>0.7</v>
      </c>
      <c r="I494" s="2" t="n">
        <v>9.4</v>
      </c>
      <c r="J494" s="2" t="s">
        <v>20</v>
      </c>
      <c r="K494" s="2"/>
      <c r="L494" s="3" t="n">
        <f aca="false">B494-WEEKDAY(B494,2)+1</f>
        <v>46286</v>
      </c>
      <c r="M494" s="4" t="n">
        <f aca="false">IFERROR(INDEX(02_Parâmetros!$B$14:$B$17,MATCH(C494,02_Parâmetros!$A$14:$A$17,0)),"")</f>
        <v>2</v>
      </c>
      <c r="N494" s="2" t="str">
        <f aca="false">IF(OR(H494="",M494=""),"",IF(H494&lt;=M494,"Sim","Não"))</f>
        <v>Sim</v>
      </c>
    </row>
    <row r="495" customFormat="false" ht="15" hidden="false" customHeight="false" outlineLevel="0" collapsed="false">
      <c r="A495" s="2" t="s">
        <v>532</v>
      </c>
      <c r="B495" s="3" t="n">
        <v>46289</v>
      </c>
      <c r="C495" s="2" t="s">
        <v>27</v>
      </c>
      <c r="D495" s="2" t="s">
        <v>16</v>
      </c>
      <c r="E495" s="2" t="s">
        <v>36</v>
      </c>
      <c r="F495" s="2" t="s">
        <v>34</v>
      </c>
      <c r="G495" s="2" t="s">
        <v>19</v>
      </c>
      <c r="H495" s="2" t="n">
        <v>3.6</v>
      </c>
      <c r="I495" s="2" t="n">
        <v>6.3</v>
      </c>
      <c r="J495" s="2" t="s">
        <v>20</v>
      </c>
      <c r="K495" s="2" t="n">
        <v>4</v>
      </c>
      <c r="L495" s="3" t="n">
        <f aca="false">B495-WEEKDAY(B495,2)+1</f>
        <v>46286</v>
      </c>
      <c r="M495" s="4" t="n">
        <f aca="false">IFERROR(INDEX(02_Parâmetros!$B$14:$B$17,MATCH(C495,02_Parâmetros!$A$14:$A$17,0)),"")</f>
        <v>10</v>
      </c>
      <c r="N495" s="2" t="str">
        <f aca="false">IF(OR(H495="",M495=""),"",IF(H495&lt;=M495,"Sim","Não"))</f>
        <v>Sim</v>
      </c>
    </row>
    <row r="496" customFormat="false" ht="15" hidden="false" customHeight="false" outlineLevel="0" collapsed="false">
      <c r="A496" s="2" t="s">
        <v>533</v>
      </c>
      <c r="B496" s="3" t="n">
        <v>46290</v>
      </c>
      <c r="C496" s="2" t="s">
        <v>27</v>
      </c>
      <c r="D496" s="2" t="s">
        <v>38</v>
      </c>
      <c r="E496" s="2" t="s">
        <v>39</v>
      </c>
      <c r="F496" s="2" t="s">
        <v>24</v>
      </c>
      <c r="G496" s="2" t="s">
        <v>19</v>
      </c>
      <c r="H496" s="2" t="n">
        <v>7.6</v>
      </c>
      <c r="I496" s="2" t="n">
        <v>10.2</v>
      </c>
      <c r="J496" s="2" t="s">
        <v>25</v>
      </c>
      <c r="K496" s="2"/>
      <c r="L496" s="3" t="n">
        <f aca="false">B496-WEEKDAY(B496,2)+1</f>
        <v>46286</v>
      </c>
      <c r="M496" s="4" t="n">
        <f aca="false">IFERROR(INDEX(02_Parâmetros!$B$14:$B$17,MATCH(C496,02_Parâmetros!$A$14:$A$17,0)),"")</f>
        <v>10</v>
      </c>
      <c r="N496" s="2" t="str">
        <f aca="false">IF(OR(H496="",M496=""),"",IF(H496&lt;=M496,"Sim","Não"))</f>
        <v>Sim</v>
      </c>
    </row>
    <row r="497" customFormat="false" ht="15" hidden="false" customHeight="false" outlineLevel="0" collapsed="false">
      <c r="A497" s="2" t="s">
        <v>534</v>
      </c>
      <c r="B497" s="3" t="n">
        <v>46290</v>
      </c>
      <c r="C497" s="2" t="s">
        <v>15</v>
      </c>
      <c r="D497" s="2" t="s">
        <v>22</v>
      </c>
      <c r="E497" s="2" t="s">
        <v>23</v>
      </c>
      <c r="F497" s="2" t="s">
        <v>42</v>
      </c>
      <c r="G497" s="2" t="s">
        <v>19</v>
      </c>
      <c r="H497" s="2" t="n">
        <v>0.9</v>
      </c>
      <c r="I497" s="2" t="n">
        <v>19.6</v>
      </c>
      <c r="J497" s="2" t="s">
        <v>25</v>
      </c>
      <c r="K497" s="2"/>
      <c r="L497" s="3" t="n">
        <f aca="false">B497-WEEKDAY(B497,2)+1</f>
        <v>46286</v>
      </c>
      <c r="M497" s="4" t="n">
        <f aca="false">IFERROR(INDEX(02_Parâmetros!$B$14:$B$17,MATCH(C497,02_Parâmetros!$A$14:$A$17,0)),"")</f>
        <v>1</v>
      </c>
      <c r="N497" s="2" t="str">
        <f aca="false">IF(OR(H497="",M497=""),"",IF(H497&lt;=M497,"Sim","Não"))</f>
        <v>Sim</v>
      </c>
    </row>
    <row r="498" customFormat="false" ht="15" hidden="false" customHeight="false" outlineLevel="0" collapsed="false">
      <c r="A498" s="2" t="s">
        <v>535</v>
      </c>
      <c r="B498" s="3" t="n">
        <v>46290</v>
      </c>
      <c r="C498" s="2" t="s">
        <v>27</v>
      </c>
      <c r="D498" s="2" t="s">
        <v>16</v>
      </c>
      <c r="E498" s="2" t="s">
        <v>36</v>
      </c>
      <c r="F498" s="2" t="s">
        <v>24</v>
      </c>
      <c r="G498" s="2" t="s">
        <v>19</v>
      </c>
      <c r="H498" s="2" t="n">
        <v>4.5</v>
      </c>
      <c r="I498" s="2" t="n">
        <v>10.3</v>
      </c>
      <c r="J498" s="2" t="s">
        <v>25</v>
      </c>
      <c r="K498" s="2" t="n">
        <v>4</v>
      </c>
      <c r="L498" s="3" t="n">
        <f aca="false">B498-WEEKDAY(B498,2)+1</f>
        <v>46286</v>
      </c>
      <c r="M498" s="4" t="n">
        <f aca="false">IFERROR(INDEX(02_Parâmetros!$B$14:$B$17,MATCH(C498,02_Parâmetros!$A$14:$A$17,0)),"")</f>
        <v>10</v>
      </c>
      <c r="N498" s="2" t="str">
        <f aca="false">IF(OR(H498="",M498=""),"",IF(H498&lt;=M498,"Sim","Não"))</f>
        <v>Sim</v>
      </c>
    </row>
    <row r="499" customFormat="false" ht="15" hidden="false" customHeight="false" outlineLevel="0" collapsed="false">
      <c r="A499" s="2" t="s">
        <v>536</v>
      </c>
      <c r="B499" s="3" t="n">
        <v>46290</v>
      </c>
      <c r="C499" s="2" t="s">
        <v>15</v>
      </c>
      <c r="D499" s="2" t="s">
        <v>22</v>
      </c>
      <c r="E499" s="2" t="s">
        <v>23</v>
      </c>
      <c r="F499" s="2" t="s">
        <v>18</v>
      </c>
      <c r="G499" s="2" t="s">
        <v>19</v>
      </c>
      <c r="H499" s="2" t="n">
        <v>1.8</v>
      </c>
      <c r="I499" s="2" t="n">
        <v>16.2</v>
      </c>
      <c r="J499" s="2" t="s">
        <v>25</v>
      </c>
      <c r="K499" s="2"/>
      <c r="L499" s="3" t="n">
        <f aca="false">B499-WEEKDAY(B499,2)+1</f>
        <v>46286</v>
      </c>
      <c r="M499" s="4" t="n">
        <f aca="false">IFERROR(INDEX(02_Parâmetros!$B$14:$B$17,MATCH(C499,02_Parâmetros!$A$14:$A$17,0)),"")</f>
        <v>1</v>
      </c>
      <c r="N499" s="2" t="str">
        <f aca="false">IF(OR(H499="",M499=""),"",IF(H499&lt;=M499,"Sim","Não"))</f>
        <v>Não</v>
      </c>
    </row>
    <row r="500" customFormat="false" ht="15" hidden="false" customHeight="false" outlineLevel="0" collapsed="false">
      <c r="A500" s="2" t="s">
        <v>537</v>
      </c>
      <c r="B500" s="3" t="n">
        <v>46290</v>
      </c>
      <c r="C500" s="2" t="s">
        <v>41</v>
      </c>
      <c r="D500" s="2" t="s">
        <v>22</v>
      </c>
      <c r="E500" s="2" t="s">
        <v>28</v>
      </c>
      <c r="F500" s="2" t="s">
        <v>70</v>
      </c>
      <c r="G500" s="2" t="s">
        <v>19</v>
      </c>
      <c r="H500" s="2" t="n">
        <v>326.7</v>
      </c>
      <c r="I500" s="2" t="n">
        <v>10.1</v>
      </c>
      <c r="J500" s="2" t="s">
        <v>20</v>
      </c>
      <c r="K500" s="2" t="n">
        <v>5</v>
      </c>
      <c r="L500" s="3" t="n">
        <f aca="false">B500-WEEKDAY(B500,2)+1</f>
        <v>46286</v>
      </c>
      <c r="M500" s="4" t="n">
        <f aca="false">IFERROR(INDEX(02_Parâmetros!$B$14:$B$17,MATCH(C500,02_Parâmetros!$A$14:$A$17,0)),"")</f>
        <v>240</v>
      </c>
      <c r="N500" s="2" t="str">
        <f aca="false">IF(OR(H500="",M500=""),"",IF(H500&lt;=M500,"Sim","Não"))</f>
        <v>Não</v>
      </c>
    </row>
    <row r="501" customFormat="false" ht="15" hidden="false" customHeight="false" outlineLevel="0" collapsed="false">
      <c r="A501" s="2" t="s">
        <v>538</v>
      </c>
      <c r="B501" s="3" t="n">
        <v>46290</v>
      </c>
      <c r="C501" s="2" t="s">
        <v>15</v>
      </c>
      <c r="D501" s="2" t="s">
        <v>22</v>
      </c>
      <c r="E501" s="2" t="s">
        <v>23</v>
      </c>
      <c r="F501" s="2" t="s">
        <v>70</v>
      </c>
      <c r="G501" s="2" t="s">
        <v>19</v>
      </c>
      <c r="H501" s="2" t="n">
        <v>0.4</v>
      </c>
      <c r="I501" s="2" t="n">
        <v>12.9</v>
      </c>
      <c r="J501" s="2" t="s">
        <v>20</v>
      </c>
      <c r="K501" s="2"/>
      <c r="L501" s="3" t="n">
        <f aca="false">B501-WEEKDAY(B501,2)+1</f>
        <v>46286</v>
      </c>
      <c r="M501" s="4" t="n">
        <f aca="false">IFERROR(INDEX(02_Parâmetros!$B$14:$B$17,MATCH(C501,02_Parâmetros!$A$14:$A$17,0)),"")</f>
        <v>1</v>
      </c>
      <c r="N501" s="2" t="str">
        <f aca="false">IF(OR(H501="",M501=""),"",IF(H501&lt;=M501,"Sim","Não"))</f>
        <v>Sim</v>
      </c>
    </row>
    <row r="502" customFormat="false" ht="15" hidden="false" customHeight="false" outlineLevel="0" collapsed="false">
      <c r="A502" s="2" t="s">
        <v>539</v>
      </c>
      <c r="B502" s="3" t="n">
        <v>46290</v>
      </c>
      <c r="C502" s="2" t="s">
        <v>27</v>
      </c>
      <c r="D502" s="2" t="s">
        <v>22</v>
      </c>
      <c r="E502" s="2" t="s">
        <v>28</v>
      </c>
      <c r="F502" s="2" t="s">
        <v>24</v>
      </c>
      <c r="G502" s="2" t="s">
        <v>19</v>
      </c>
      <c r="H502" s="2" t="n">
        <v>2.6</v>
      </c>
      <c r="I502" s="2" t="n">
        <v>7.2</v>
      </c>
      <c r="J502" s="2" t="s">
        <v>20</v>
      </c>
      <c r="K502" s="2"/>
      <c r="L502" s="3" t="n">
        <f aca="false">B502-WEEKDAY(B502,2)+1</f>
        <v>46286</v>
      </c>
      <c r="M502" s="4" t="n">
        <f aca="false">IFERROR(INDEX(02_Parâmetros!$B$14:$B$17,MATCH(C502,02_Parâmetros!$A$14:$A$17,0)),"")</f>
        <v>10</v>
      </c>
      <c r="N502" s="2" t="str">
        <f aca="false">IF(OR(H502="",M502=""),"",IF(H502&lt;=M502,"Sim","Não"))</f>
        <v>Sim</v>
      </c>
    </row>
    <row r="503" customFormat="false" ht="15" hidden="false" customHeight="false" outlineLevel="0" collapsed="false">
      <c r="A503" s="2" t="s">
        <v>540</v>
      </c>
      <c r="B503" s="3" t="n">
        <v>46290</v>
      </c>
      <c r="C503" s="2" t="s">
        <v>44</v>
      </c>
      <c r="D503" s="2" t="s">
        <v>38</v>
      </c>
      <c r="E503" s="2" t="s">
        <v>56</v>
      </c>
      <c r="F503" s="2" t="s">
        <v>70</v>
      </c>
      <c r="G503" s="2" t="s">
        <v>19</v>
      </c>
      <c r="H503" s="2" t="n">
        <v>0.9</v>
      </c>
      <c r="I503" s="2" t="n">
        <v>9.9</v>
      </c>
      <c r="J503" s="2" t="s">
        <v>20</v>
      </c>
      <c r="K503" s="2" t="n">
        <v>4</v>
      </c>
      <c r="L503" s="3" t="n">
        <f aca="false">B503-WEEKDAY(B503,2)+1</f>
        <v>46286</v>
      </c>
      <c r="M503" s="4" t="n">
        <f aca="false">IFERROR(INDEX(02_Parâmetros!$B$14:$B$17,MATCH(C503,02_Parâmetros!$A$14:$A$17,0)),"")</f>
        <v>2</v>
      </c>
      <c r="N503" s="2" t="str">
        <f aca="false">IF(OR(H503="",M503=""),"",IF(H503&lt;=M503,"Sim","Não"))</f>
        <v>Sim</v>
      </c>
    </row>
    <row r="504" customFormat="false" ht="15" hidden="false" customHeight="false" outlineLevel="0" collapsed="false">
      <c r="A504" s="2" t="s">
        <v>541</v>
      </c>
      <c r="B504" s="3" t="n">
        <v>46290</v>
      </c>
      <c r="C504" s="2" t="s">
        <v>27</v>
      </c>
      <c r="D504" s="2" t="s">
        <v>38</v>
      </c>
      <c r="E504" s="2" t="s">
        <v>56</v>
      </c>
      <c r="F504" s="2" t="s">
        <v>42</v>
      </c>
      <c r="G504" s="2" t="s">
        <v>19</v>
      </c>
      <c r="H504" s="2" t="n">
        <v>2.5</v>
      </c>
      <c r="I504" s="2" t="n">
        <v>7.3</v>
      </c>
      <c r="J504" s="2" t="s">
        <v>25</v>
      </c>
      <c r="K504" s="2"/>
      <c r="L504" s="3" t="n">
        <f aca="false">B504-WEEKDAY(B504,2)+1</f>
        <v>46286</v>
      </c>
      <c r="M504" s="4" t="n">
        <f aca="false">IFERROR(INDEX(02_Parâmetros!$B$14:$B$17,MATCH(C504,02_Parâmetros!$A$14:$A$17,0)),"")</f>
        <v>10</v>
      </c>
      <c r="N504" s="2" t="str">
        <f aca="false">IF(OR(H504="",M504=""),"",IF(H504&lt;=M504,"Sim","Não"))</f>
        <v>Sim</v>
      </c>
    </row>
    <row r="505" customFormat="false" ht="15" hidden="false" customHeight="false" outlineLevel="0" collapsed="false">
      <c r="A505" s="2" t="s">
        <v>542</v>
      </c>
      <c r="B505" s="3" t="n">
        <v>46290</v>
      </c>
      <c r="C505" s="2" t="s">
        <v>27</v>
      </c>
      <c r="D505" s="2" t="s">
        <v>22</v>
      </c>
      <c r="E505" s="2" t="s">
        <v>28</v>
      </c>
      <c r="F505" s="2" t="s">
        <v>32</v>
      </c>
      <c r="G505" s="2" t="s">
        <v>19</v>
      </c>
      <c r="H505" s="2" t="n">
        <v>15.9</v>
      </c>
      <c r="I505" s="2" t="n">
        <v>6.5</v>
      </c>
      <c r="J505" s="2" t="s">
        <v>25</v>
      </c>
      <c r="K505" s="2" t="n">
        <v>3</v>
      </c>
      <c r="L505" s="3" t="n">
        <f aca="false">B505-WEEKDAY(B505,2)+1</f>
        <v>46286</v>
      </c>
      <c r="M505" s="4" t="n">
        <f aca="false">IFERROR(INDEX(02_Parâmetros!$B$14:$B$17,MATCH(C505,02_Parâmetros!$A$14:$A$17,0)),"")</f>
        <v>10</v>
      </c>
      <c r="N505" s="2" t="str">
        <f aca="false">IF(OR(H505="",M505=""),"",IF(H505&lt;=M505,"Sim","Não"))</f>
        <v>Não</v>
      </c>
    </row>
    <row r="506" customFormat="false" ht="15" hidden="false" customHeight="false" outlineLevel="0" collapsed="false">
      <c r="A506" s="2" t="s">
        <v>543</v>
      </c>
      <c r="B506" s="3" t="n">
        <v>46290</v>
      </c>
      <c r="C506" s="2" t="s">
        <v>27</v>
      </c>
      <c r="D506" s="2" t="s">
        <v>22</v>
      </c>
      <c r="E506" s="2" t="s">
        <v>23</v>
      </c>
      <c r="F506" s="2" t="s">
        <v>18</v>
      </c>
      <c r="G506" s="2" t="s">
        <v>19</v>
      </c>
      <c r="H506" s="2" t="n">
        <v>7.1</v>
      </c>
      <c r="I506" s="2" t="n">
        <v>6.8</v>
      </c>
      <c r="J506" s="2" t="s">
        <v>20</v>
      </c>
      <c r="K506" s="2"/>
      <c r="L506" s="3" t="n">
        <f aca="false">B506-WEEKDAY(B506,2)+1</f>
        <v>46286</v>
      </c>
      <c r="M506" s="4" t="n">
        <f aca="false">IFERROR(INDEX(02_Parâmetros!$B$14:$B$17,MATCH(C506,02_Parâmetros!$A$14:$A$17,0)),"")</f>
        <v>10</v>
      </c>
      <c r="N506" s="2" t="str">
        <f aca="false">IF(OR(H506="",M506=""),"",IF(H506&lt;=M506,"Sim","Não"))</f>
        <v>Sim</v>
      </c>
    </row>
    <row r="507" customFormat="false" ht="15" hidden="false" customHeight="false" outlineLevel="0" collapsed="false">
      <c r="A507" s="2" t="s">
        <v>544</v>
      </c>
      <c r="B507" s="3" t="n">
        <v>46290</v>
      </c>
      <c r="C507" s="2" t="s">
        <v>15</v>
      </c>
      <c r="D507" s="2" t="s">
        <v>38</v>
      </c>
      <c r="E507" s="2" t="s">
        <v>39</v>
      </c>
      <c r="F507" s="2" t="s">
        <v>18</v>
      </c>
      <c r="G507" s="2" t="s">
        <v>19</v>
      </c>
      <c r="H507" s="2" t="n">
        <v>0.3</v>
      </c>
      <c r="I507" s="2" t="n">
        <v>14.8</v>
      </c>
      <c r="J507" s="2" t="s">
        <v>25</v>
      </c>
      <c r="K507" s="2"/>
      <c r="L507" s="3" t="n">
        <f aca="false">B507-WEEKDAY(B507,2)+1</f>
        <v>46286</v>
      </c>
      <c r="M507" s="4" t="n">
        <f aca="false">IFERROR(INDEX(02_Parâmetros!$B$14:$B$17,MATCH(C507,02_Parâmetros!$A$14:$A$17,0)),"")</f>
        <v>1</v>
      </c>
      <c r="N507" s="2" t="str">
        <f aca="false">IF(OR(H507="",M507=""),"",IF(H507&lt;=M507,"Sim","Não"))</f>
        <v>Sim</v>
      </c>
    </row>
    <row r="508" customFormat="false" ht="15" hidden="false" customHeight="false" outlineLevel="0" collapsed="false">
      <c r="A508" s="2" t="s">
        <v>545</v>
      </c>
      <c r="B508" s="3" t="n">
        <v>46290</v>
      </c>
      <c r="C508" s="2" t="s">
        <v>27</v>
      </c>
      <c r="D508" s="2" t="s">
        <v>22</v>
      </c>
      <c r="E508" s="2" t="s">
        <v>28</v>
      </c>
      <c r="F508" s="2" t="s">
        <v>70</v>
      </c>
      <c r="G508" s="2" t="s">
        <v>19</v>
      </c>
      <c r="H508" s="2" t="n">
        <v>4.5</v>
      </c>
      <c r="I508" s="2" t="n">
        <v>7.1</v>
      </c>
      <c r="J508" s="2" t="s">
        <v>20</v>
      </c>
      <c r="K508" s="2"/>
      <c r="L508" s="3" t="n">
        <f aca="false">B508-WEEKDAY(B508,2)+1</f>
        <v>46286</v>
      </c>
      <c r="M508" s="4" t="n">
        <f aca="false">IFERROR(INDEX(02_Parâmetros!$B$14:$B$17,MATCH(C508,02_Parâmetros!$A$14:$A$17,0)),"")</f>
        <v>10</v>
      </c>
      <c r="N508" s="2" t="str">
        <f aca="false">IF(OR(H508="",M508=""),"",IF(H508&lt;=M508,"Sim","Não"))</f>
        <v>Sim</v>
      </c>
    </row>
    <row r="509" customFormat="false" ht="15" hidden="false" customHeight="false" outlineLevel="0" collapsed="false">
      <c r="A509" s="2" t="s">
        <v>546</v>
      </c>
      <c r="B509" s="3" t="n">
        <v>46290</v>
      </c>
      <c r="C509" s="2" t="s">
        <v>27</v>
      </c>
      <c r="D509" s="2" t="s">
        <v>16</v>
      </c>
      <c r="E509" s="2" t="s">
        <v>17</v>
      </c>
      <c r="F509" s="2" t="s">
        <v>18</v>
      </c>
      <c r="G509" s="2" t="s">
        <v>19</v>
      </c>
      <c r="H509" s="2" t="n">
        <v>17.5</v>
      </c>
      <c r="I509" s="2" t="n">
        <v>6.2</v>
      </c>
      <c r="J509" s="2" t="s">
        <v>20</v>
      </c>
      <c r="K509" s="2"/>
      <c r="L509" s="3" t="n">
        <f aca="false">B509-WEEKDAY(B509,2)+1</f>
        <v>46286</v>
      </c>
      <c r="M509" s="4" t="n">
        <f aca="false">IFERROR(INDEX(02_Parâmetros!$B$14:$B$17,MATCH(C509,02_Parâmetros!$A$14:$A$17,0)),"")</f>
        <v>10</v>
      </c>
      <c r="N509" s="2" t="str">
        <f aca="false">IF(OR(H509="",M509=""),"",IF(H509&lt;=M509,"Sim","Não"))</f>
        <v>Não</v>
      </c>
    </row>
    <row r="510" customFormat="false" ht="15" hidden="false" customHeight="false" outlineLevel="0" collapsed="false">
      <c r="A510" s="2" t="s">
        <v>547</v>
      </c>
      <c r="B510" s="3" t="n">
        <v>46290</v>
      </c>
      <c r="C510" s="2" t="s">
        <v>27</v>
      </c>
      <c r="D510" s="2" t="s">
        <v>16</v>
      </c>
      <c r="E510" s="2" t="s">
        <v>36</v>
      </c>
      <c r="F510" s="2" t="s">
        <v>32</v>
      </c>
      <c r="G510" s="2" t="s">
        <v>19</v>
      </c>
      <c r="H510" s="2" t="n">
        <v>8.9</v>
      </c>
      <c r="I510" s="2" t="n">
        <v>8.6</v>
      </c>
      <c r="J510" s="2" t="s">
        <v>20</v>
      </c>
      <c r="K510" s="2"/>
      <c r="L510" s="3" t="n">
        <f aca="false">B510-WEEKDAY(B510,2)+1</f>
        <v>46286</v>
      </c>
      <c r="M510" s="4" t="n">
        <f aca="false">IFERROR(INDEX(02_Parâmetros!$B$14:$B$17,MATCH(C510,02_Parâmetros!$A$14:$A$17,0)),"")</f>
        <v>10</v>
      </c>
      <c r="N510" s="2" t="str">
        <f aca="false">IF(OR(H510="",M510=""),"",IF(H510&lt;=M510,"Sim","Não"))</f>
        <v>Sim</v>
      </c>
    </row>
    <row r="511" customFormat="false" ht="15" hidden="false" customHeight="false" outlineLevel="0" collapsed="false">
      <c r="A511" s="2" t="s">
        <v>548</v>
      </c>
      <c r="B511" s="3" t="n">
        <v>46290</v>
      </c>
      <c r="C511" s="2" t="s">
        <v>41</v>
      </c>
      <c r="D511" s="2" t="s">
        <v>38</v>
      </c>
      <c r="E511" s="2" t="s">
        <v>47</v>
      </c>
      <c r="F511" s="2" t="s">
        <v>34</v>
      </c>
      <c r="G511" s="2" t="s">
        <v>19</v>
      </c>
      <c r="H511" s="2" t="n">
        <v>66.3</v>
      </c>
      <c r="I511" s="2" t="n">
        <v>9.1</v>
      </c>
      <c r="J511" s="2" t="s">
        <v>20</v>
      </c>
      <c r="K511" s="2"/>
      <c r="L511" s="3" t="n">
        <f aca="false">B511-WEEKDAY(B511,2)+1</f>
        <v>46286</v>
      </c>
      <c r="M511" s="4" t="n">
        <f aca="false">IFERROR(INDEX(02_Parâmetros!$B$14:$B$17,MATCH(C511,02_Parâmetros!$A$14:$A$17,0)),"")</f>
        <v>240</v>
      </c>
      <c r="N511" s="2" t="str">
        <f aca="false">IF(OR(H511="",M511=""),"",IF(H511&lt;=M511,"Sim","Não"))</f>
        <v>Sim</v>
      </c>
    </row>
    <row r="512" customFormat="false" ht="15" hidden="false" customHeight="false" outlineLevel="0" collapsed="false">
      <c r="A512" s="2" t="s">
        <v>549</v>
      </c>
      <c r="B512" s="3" t="n">
        <v>46290</v>
      </c>
      <c r="C512" s="2" t="s">
        <v>15</v>
      </c>
      <c r="D512" s="2" t="s">
        <v>22</v>
      </c>
      <c r="E512" s="2" t="s">
        <v>28</v>
      </c>
      <c r="F512" s="2" t="s">
        <v>24</v>
      </c>
      <c r="G512" s="2" t="s">
        <v>19</v>
      </c>
      <c r="H512" s="2" t="n">
        <v>0.5</v>
      </c>
      <c r="I512" s="2" t="n">
        <v>24.6</v>
      </c>
      <c r="J512" s="2" t="s">
        <v>25</v>
      </c>
      <c r="K512" s="2"/>
      <c r="L512" s="3" t="n">
        <f aca="false">B512-WEEKDAY(B512,2)+1</f>
        <v>46286</v>
      </c>
      <c r="M512" s="4" t="n">
        <f aca="false">IFERROR(INDEX(02_Parâmetros!$B$14:$B$17,MATCH(C512,02_Parâmetros!$A$14:$A$17,0)),"")</f>
        <v>1</v>
      </c>
      <c r="N512" s="2" t="str">
        <f aca="false">IF(OR(H512="",M512=""),"",IF(H512&lt;=M512,"Sim","Não"))</f>
        <v>Sim</v>
      </c>
    </row>
    <row r="513" customFormat="false" ht="15" hidden="false" customHeight="false" outlineLevel="0" collapsed="false">
      <c r="A513" s="2" t="s">
        <v>550</v>
      </c>
      <c r="B513" s="3" t="n">
        <v>46290</v>
      </c>
      <c r="C513" s="2" t="s">
        <v>41</v>
      </c>
      <c r="D513" s="2" t="s">
        <v>38</v>
      </c>
      <c r="E513" s="2" t="s">
        <v>56</v>
      </c>
      <c r="F513" s="2" t="s">
        <v>42</v>
      </c>
      <c r="G513" s="2" t="s">
        <v>19</v>
      </c>
      <c r="H513" s="2" t="n">
        <v>115.5</v>
      </c>
      <c r="I513" s="2" t="n">
        <v>8.4</v>
      </c>
      <c r="J513" s="2" t="s">
        <v>20</v>
      </c>
      <c r="K513" s="2"/>
      <c r="L513" s="3" t="n">
        <f aca="false">B513-WEEKDAY(B513,2)+1</f>
        <v>46286</v>
      </c>
      <c r="M513" s="4" t="n">
        <f aca="false">IFERROR(INDEX(02_Parâmetros!$B$14:$B$17,MATCH(C513,02_Parâmetros!$A$14:$A$17,0)),"")</f>
        <v>240</v>
      </c>
      <c r="N513" s="2" t="str">
        <f aca="false">IF(OR(H513="",M513=""),"",IF(H513&lt;=M513,"Sim","Não"))</f>
        <v>Sim</v>
      </c>
    </row>
    <row r="514" customFormat="false" ht="15" hidden="false" customHeight="false" outlineLevel="0" collapsed="false">
      <c r="A514" s="2" t="s">
        <v>551</v>
      </c>
      <c r="B514" s="3" t="n">
        <v>46290</v>
      </c>
      <c r="C514" s="2" t="s">
        <v>27</v>
      </c>
      <c r="D514" s="2" t="s">
        <v>38</v>
      </c>
      <c r="E514" s="2" t="s">
        <v>39</v>
      </c>
      <c r="F514" s="2" t="s">
        <v>70</v>
      </c>
      <c r="G514" s="2" t="s">
        <v>19</v>
      </c>
      <c r="H514" s="2" t="n">
        <v>6.5</v>
      </c>
      <c r="I514" s="2" t="n">
        <v>6.2</v>
      </c>
      <c r="J514" s="2" t="s">
        <v>25</v>
      </c>
      <c r="K514" s="2" t="n">
        <v>1</v>
      </c>
      <c r="L514" s="3" t="n">
        <f aca="false">B514-WEEKDAY(B514,2)+1</f>
        <v>46286</v>
      </c>
      <c r="M514" s="4" t="n">
        <f aca="false">IFERROR(INDEX(02_Parâmetros!$B$14:$B$17,MATCH(C514,02_Parâmetros!$A$14:$A$17,0)),"")</f>
        <v>10</v>
      </c>
      <c r="N514" s="2" t="str">
        <f aca="false">IF(OR(H514="",M514=""),"",IF(H514&lt;=M514,"Sim","Não"))</f>
        <v>Sim</v>
      </c>
    </row>
    <row r="515" customFormat="false" ht="15" hidden="false" customHeight="false" outlineLevel="0" collapsed="false">
      <c r="A515" s="2" t="s">
        <v>552</v>
      </c>
      <c r="B515" s="3" t="n">
        <v>46290</v>
      </c>
      <c r="C515" s="2" t="s">
        <v>27</v>
      </c>
      <c r="D515" s="2" t="s">
        <v>16</v>
      </c>
      <c r="E515" s="2" t="s">
        <v>36</v>
      </c>
      <c r="F515" s="2" t="s">
        <v>42</v>
      </c>
      <c r="G515" s="2" t="s">
        <v>19</v>
      </c>
      <c r="H515" s="2" t="n">
        <v>2.8</v>
      </c>
      <c r="I515" s="2" t="n">
        <v>6.4</v>
      </c>
      <c r="J515" s="2" t="s">
        <v>20</v>
      </c>
      <c r="K515" s="2"/>
      <c r="L515" s="3" t="n">
        <f aca="false">B515-WEEKDAY(B515,2)+1</f>
        <v>46286</v>
      </c>
      <c r="M515" s="4" t="n">
        <f aca="false">IFERROR(INDEX(02_Parâmetros!$B$14:$B$17,MATCH(C515,02_Parâmetros!$A$14:$A$17,0)),"")</f>
        <v>10</v>
      </c>
      <c r="N515" s="2" t="str">
        <f aca="false">IF(OR(H515="",M515=""),"",IF(H515&lt;=M515,"Sim","Não"))</f>
        <v>Sim</v>
      </c>
    </row>
    <row r="516" customFormat="false" ht="15" hidden="false" customHeight="false" outlineLevel="0" collapsed="false">
      <c r="A516" s="2" t="s">
        <v>553</v>
      </c>
      <c r="B516" s="3" t="n">
        <v>46290</v>
      </c>
      <c r="C516" s="2" t="s">
        <v>27</v>
      </c>
      <c r="D516" s="2" t="s">
        <v>16</v>
      </c>
      <c r="E516" s="2" t="s">
        <v>17</v>
      </c>
      <c r="F516" s="2" t="s">
        <v>18</v>
      </c>
      <c r="G516" s="2" t="s">
        <v>19</v>
      </c>
      <c r="H516" s="2" t="n">
        <v>5.2</v>
      </c>
      <c r="I516" s="2" t="n">
        <v>7.9</v>
      </c>
      <c r="J516" s="2" t="s">
        <v>20</v>
      </c>
      <c r="K516" s="2"/>
      <c r="L516" s="3" t="n">
        <f aca="false">B516-WEEKDAY(B516,2)+1</f>
        <v>46286</v>
      </c>
      <c r="M516" s="4" t="n">
        <f aca="false">IFERROR(INDEX(02_Parâmetros!$B$14:$B$17,MATCH(C516,02_Parâmetros!$A$14:$A$17,0)),"")</f>
        <v>10</v>
      </c>
      <c r="N516" s="2" t="str">
        <f aca="false">IF(OR(H516="",M516=""),"",IF(H516&lt;=M516,"Sim","Não"))</f>
        <v>Sim</v>
      </c>
    </row>
    <row r="517" customFormat="false" ht="15" hidden="false" customHeight="false" outlineLevel="0" collapsed="false">
      <c r="A517" s="2" t="s">
        <v>554</v>
      </c>
      <c r="B517" s="3" t="n">
        <v>46290</v>
      </c>
      <c r="C517" s="2" t="s">
        <v>41</v>
      </c>
      <c r="D517" s="2" t="s">
        <v>38</v>
      </c>
      <c r="E517" s="2" t="s">
        <v>56</v>
      </c>
      <c r="F517" s="2" t="s">
        <v>24</v>
      </c>
      <c r="G517" s="2" t="s">
        <v>19</v>
      </c>
      <c r="H517" s="2" t="n">
        <v>221.7</v>
      </c>
      <c r="I517" s="2" t="n">
        <v>12.8</v>
      </c>
      <c r="J517" s="2" t="s">
        <v>25</v>
      </c>
      <c r="K517" s="2"/>
      <c r="L517" s="3" t="n">
        <f aca="false">B517-WEEKDAY(B517,2)+1</f>
        <v>46286</v>
      </c>
      <c r="M517" s="4" t="n">
        <f aca="false">IFERROR(INDEX(02_Parâmetros!$B$14:$B$17,MATCH(C517,02_Parâmetros!$A$14:$A$17,0)),"")</f>
        <v>240</v>
      </c>
      <c r="N517" s="2" t="str">
        <f aca="false">IF(OR(H517="",M517=""),"",IF(H517&lt;=M517,"Sim","Não"))</f>
        <v>Sim</v>
      </c>
    </row>
    <row r="518" customFormat="false" ht="15" hidden="false" customHeight="false" outlineLevel="0" collapsed="false">
      <c r="A518" s="2" t="s">
        <v>555</v>
      </c>
      <c r="B518" s="3" t="n">
        <v>46290</v>
      </c>
      <c r="C518" s="2" t="s">
        <v>27</v>
      </c>
      <c r="D518" s="2" t="s">
        <v>16</v>
      </c>
      <c r="E518" s="2" t="s">
        <v>31</v>
      </c>
      <c r="F518" s="2" t="s">
        <v>24</v>
      </c>
      <c r="G518" s="2" t="s">
        <v>19</v>
      </c>
      <c r="H518" s="2" t="n">
        <v>5.9</v>
      </c>
      <c r="I518" s="2" t="n">
        <v>12.6</v>
      </c>
      <c r="J518" s="2" t="s">
        <v>20</v>
      </c>
      <c r="K518" s="2"/>
      <c r="L518" s="3" t="n">
        <f aca="false">B518-WEEKDAY(B518,2)+1</f>
        <v>46286</v>
      </c>
      <c r="M518" s="4" t="n">
        <f aca="false">IFERROR(INDEX(02_Parâmetros!$B$14:$B$17,MATCH(C518,02_Parâmetros!$A$14:$A$17,0)),"")</f>
        <v>10</v>
      </c>
      <c r="N518" s="2" t="str">
        <f aca="false">IF(OR(H518="",M518=""),"",IF(H518&lt;=M518,"Sim","Não"))</f>
        <v>Sim</v>
      </c>
    </row>
    <row r="519" customFormat="false" ht="15" hidden="false" customHeight="false" outlineLevel="0" collapsed="false">
      <c r="A519" s="2" t="s">
        <v>556</v>
      </c>
      <c r="B519" s="3" t="n">
        <v>46290</v>
      </c>
      <c r="C519" s="2" t="s">
        <v>27</v>
      </c>
      <c r="D519" s="2" t="s">
        <v>38</v>
      </c>
      <c r="E519" s="2" t="s">
        <v>47</v>
      </c>
      <c r="F519" s="2" t="s">
        <v>18</v>
      </c>
      <c r="G519" s="2" t="s">
        <v>19</v>
      </c>
      <c r="H519" s="2" t="n">
        <v>3.4</v>
      </c>
      <c r="I519" s="2" t="n">
        <v>10.7</v>
      </c>
      <c r="J519" s="2" t="s">
        <v>20</v>
      </c>
      <c r="K519" s="2"/>
      <c r="L519" s="3" t="n">
        <f aca="false">B519-WEEKDAY(B519,2)+1</f>
        <v>46286</v>
      </c>
      <c r="M519" s="4" t="n">
        <f aca="false">IFERROR(INDEX(02_Parâmetros!$B$14:$B$17,MATCH(C519,02_Parâmetros!$A$14:$A$17,0)),"")</f>
        <v>10</v>
      </c>
      <c r="N519" s="2" t="str">
        <f aca="false">IF(OR(H519="",M519=""),"",IF(H519&lt;=M519,"Sim","Não"))</f>
        <v>Sim</v>
      </c>
    </row>
    <row r="520" customFormat="false" ht="15" hidden="false" customHeight="false" outlineLevel="0" collapsed="false">
      <c r="A520" s="2" t="s">
        <v>557</v>
      </c>
      <c r="B520" s="3" t="n">
        <v>46290</v>
      </c>
      <c r="C520" s="2" t="s">
        <v>44</v>
      </c>
      <c r="D520" s="2" t="s">
        <v>16</v>
      </c>
      <c r="E520" s="2" t="s">
        <v>31</v>
      </c>
      <c r="F520" s="2" t="s">
        <v>42</v>
      </c>
      <c r="G520" s="2" t="s">
        <v>19</v>
      </c>
      <c r="H520" s="2" t="n">
        <v>1.9</v>
      </c>
      <c r="I520" s="2" t="n">
        <v>6.8</v>
      </c>
      <c r="J520" s="2" t="s">
        <v>20</v>
      </c>
      <c r="K520" s="2"/>
      <c r="L520" s="3" t="n">
        <f aca="false">B520-WEEKDAY(B520,2)+1</f>
        <v>46286</v>
      </c>
      <c r="M520" s="4" t="n">
        <f aca="false">IFERROR(INDEX(02_Parâmetros!$B$14:$B$17,MATCH(C520,02_Parâmetros!$A$14:$A$17,0)),"")</f>
        <v>2</v>
      </c>
      <c r="N520" s="2" t="str">
        <f aca="false">IF(OR(H520="",M520=""),"",IF(H520&lt;=M520,"Sim","Não"))</f>
        <v>Sim</v>
      </c>
    </row>
    <row r="521" customFormat="false" ht="15" hidden="false" customHeight="false" outlineLevel="0" collapsed="false">
      <c r="A521" s="2" t="s">
        <v>558</v>
      </c>
      <c r="B521" s="3" t="n">
        <v>46290</v>
      </c>
      <c r="C521" s="2" t="s">
        <v>27</v>
      </c>
      <c r="D521" s="2" t="s">
        <v>38</v>
      </c>
      <c r="E521" s="2" t="s">
        <v>39</v>
      </c>
      <c r="F521" s="2" t="s">
        <v>24</v>
      </c>
      <c r="G521" s="2" t="s">
        <v>19</v>
      </c>
      <c r="H521" s="2" t="n">
        <v>7.5</v>
      </c>
      <c r="I521" s="2" t="n">
        <v>9.4</v>
      </c>
      <c r="J521" s="2" t="s">
        <v>25</v>
      </c>
      <c r="K521" s="2"/>
      <c r="L521" s="3" t="n">
        <f aca="false">B521-WEEKDAY(B521,2)+1</f>
        <v>46286</v>
      </c>
      <c r="M521" s="4" t="n">
        <f aca="false">IFERROR(INDEX(02_Parâmetros!$B$14:$B$17,MATCH(C521,02_Parâmetros!$A$14:$A$17,0)),"")</f>
        <v>10</v>
      </c>
      <c r="N521" s="2" t="str">
        <f aca="false">IF(OR(H521="",M521=""),"",IF(H521&lt;=M521,"Sim","Não"))</f>
        <v>Sim</v>
      </c>
    </row>
    <row r="522" customFormat="false" ht="15" hidden="false" customHeight="false" outlineLevel="0" collapsed="false">
      <c r="A522" s="2" t="s">
        <v>559</v>
      </c>
      <c r="B522" s="3" t="n">
        <v>46290</v>
      </c>
      <c r="C522" s="2" t="s">
        <v>44</v>
      </c>
      <c r="D522" s="2" t="s">
        <v>38</v>
      </c>
      <c r="E522" s="2" t="s">
        <v>56</v>
      </c>
      <c r="F522" s="2" t="s">
        <v>18</v>
      </c>
      <c r="G522" s="2" t="s">
        <v>19</v>
      </c>
      <c r="H522" s="2" t="n">
        <v>1.4</v>
      </c>
      <c r="I522" s="2" t="n">
        <v>10.6</v>
      </c>
      <c r="J522" s="2" t="s">
        <v>20</v>
      </c>
      <c r="K522" s="2" t="n">
        <v>5</v>
      </c>
      <c r="L522" s="3" t="n">
        <f aca="false">B522-WEEKDAY(B522,2)+1</f>
        <v>46286</v>
      </c>
      <c r="M522" s="4" t="n">
        <f aca="false">IFERROR(INDEX(02_Parâmetros!$B$14:$B$17,MATCH(C522,02_Parâmetros!$A$14:$A$17,0)),"")</f>
        <v>2</v>
      </c>
      <c r="N522" s="2" t="str">
        <f aca="false">IF(OR(H522="",M522=""),"",IF(H522&lt;=M522,"Sim","Não"))</f>
        <v>Sim</v>
      </c>
    </row>
    <row r="523" customFormat="false" ht="15" hidden="false" customHeight="false" outlineLevel="0" collapsed="false">
      <c r="A523" s="2" t="s">
        <v>560</v>
      </c>
      <c r="B523" s="3" t="n">
        <v>46290</v>
      </c>
      <c r="C523" s="2" t="s">
        <v>27</v>
      </c>
      <c r="D523" s="2" t="s">
        <v>38</v>
      </c>
      <c r="E523" s="2" t="s">
        <v>56</v>
      </c>
      <c r="F523" s="2" t="s">
        <v>18</v>
      </c>
      <c r="G523" s="2" t="s">
        <v>19</v>
      </c>
      <c r="H523" s="2" t="n">
        <v>2.8</v>
      </c>
      <c r="I523" s="2" t="n">
        <v>7</v>
      </c>
      <c r="J523" s="2" t="s">
        <v>25</v>
      </c>
      <c r="K523" s="2"/>
      <c r="L523" s="3" t="n">
        <f aca="false">B523-WEEKDAY(B523,2)+1</f>
        <v>46286</v>
      </c>
      <c r="M523" s="4" t="n">
        <f aca="false">IFERROR(INDEX(02_Parâmetros!$B$14:$B$17,MATCH(C523,02_Parâmetros!$A$14:$A$17,0)),"")</f>
        <v>10</v>
      </c>
      <c r="N523" s="2" t="str">
        <f aca="false">IF(OR(H523="",M523=""),"",IF(H523&lt;=M523,"Sim","Não"))</f>
        <v>Sim</v>
      </c>
    </row>
    <row r="524" customFormat="false" ht="15" hidden="false" customHeight="false" outlineLevel="0" collapsed="false">
      <c r="A524" s="2" t="s">
        <v>561</v>
      </c>
      <c r="B524" s="3" t="n">
        <v>46290</v>
      </c>
      <c r="C524" s="2" t="s">
        <v>27</v>
      </c>
      <c r="D524" s="2" t="s">
        <v>38</v>
      </c>
      <c r="E524" s="2" t="s">
        <v>47</v>
      </c>
      <c r="F524" s="2" t="s">
        <v>32</v>
      </c>
      <c r="G524" s="2" t="s">
        <v>19</v>
      </c>
      <c r="H524" s="2" t="n">
        <v>10</v>
      </c>
      <c r="I524" s="2" t="n">
        <v>5.9</v>
      </c>
      <c r="J524" s="2" t="s">
        <v>25</v>
      </c>
      <c r="K524" s="2"/>
      <c r="L524" s="3" t="n">
        <f aca="false">B524-WEEKDAY(B524,2)+1</f>
        <v>46286</v>
      </c>
      <c r="M524" s="4" t="n">
        <f aca="false">IFERROR(INDEX(02_Parâmetros!$B$14:$B$17,MATCH(C524,02_Parâmetros!$A$14:$A$17,0)),"")</f>
        <v>10</v>
      </c>
      <c r="N524" s="2" t="str">
        <f aca="false">IF(OR(H524="",M524=""),"",IF(H524&lt;=M524,"Sim","Não"))</f>
        <v>Sim</v>
      </c>
    </row>
    <row r="525" customFormat="false" ht="15" hidden="false" customHeight="false" outlineLevel="0" collapsed="false">
      <c r="A525" s="2" t="s">
        <v>562</v>
      </c>
      <c r="B525" s="3" t="n">
        <v>46290</v>
      </c>
      <c r="C525" s="2" t="s">
        <v>27</v>
      </c>
      <c r="D525" s="2" t="s">
        <v>38</v>
      </c>
      <c r="E525" s="2" t="s">
        <v>39</v>
      </c>
      <c r="F525" s="2" t="s">
        <v>34</v>
      </c>
      <c r="G525" s="2" t="s">
        <v>19</v>
      </c>
      <c r="H525" s="2" t="n">
        <v>8.8</v>
      </c>
      <c r="I525" s="2" t="n">
        <v>5.1</v>
      </c>
      <c r="J525" s="2" t="s">
        <v>20</v>
      </c>
      <c r="K525" s="2" t="n">
        <v>5</v>
      </c>
      <c r="L525" s="3" t="n">
        <f aca="false">B525-WEEKDAY(B525,2)+1</f>
        <v>46286</v>
      </c>
      <c r="M525" s="4" t="n">
        <f aca="false">IFERROR(INDEX(02_Parâmetros!$B$14:$B$17,MATCH(C525,02_Parâmetros!$A$14:$A$17,0)),"")</f>
        <v>10</v>
      </c>
      <c r="N525" s="2" t="str">
        <f aca="false">IF(OR(H525="",M525=""),"",IF(H525&lt;=M525,"Sim","Não"))</f>
        <v>Sim</v>
      </c>
    </row>
    <row r="526" customFormat="false" ht="15" hidden="false" customHeight="false" outlineLevel="0" collapsed="false">
      <c r="A526" s="2" t="s">
        <v>563</v>
      </c>
      <c r="B526" s="3" t="n">
        <v>46293</v>
      </c>
      <c r="C526" s="2" t="s">
        <v>27</v>
      </c>
      <c r="D526" s="2" t="s">
        <v>16</v>
      </c>
      <c r="E526" s="2" t="s">
        <v>17</v>
      </c>
      <c r="F526" s="2" t="s">
        <v>24</v>
      </c>
      <c r="G526" s="2" t="s">
        <v>19</v>
      </c>
      <c r="H526" s="2" t="n">
        <v>3.7</v>
      </c>
      <c r="I526" s="2" t="n">
        <v>7.3</v>
      </c>
      <c r="J526" s="2" t="s">
        <v>20</v>
      </c>
      <c r="K526" s="2"/>
      <c r="L526" s="3" t="n">
        <f aca="false">B526-WEEKDAY(B526,2)+1</f>
        <v>46293</v>
      </c>
      <c r="M526" s="4" t="n">
        <f aca="false">IFERROR(INDEX(02_Parâmetros!$B$14:$B$17,MATCH(C526,02_Parâmetros!$A$14:$A$17,0)),"")</f>
        <v>10</v>
      </c>
      <c r="N526" s="2" t="str">
        <f aca="false">IF(OR(H526="",M526=""),"",IF(H526&lt;=M526,"Sim","Não"))</f>
        <v>Sim</v>
      </c>
    </row>
    <row r="527" customFormat="false" ht="15" hidden="false" customHeight="false" outlineLevel="0" collapsed="false">
      <c r="A527" s="2" t="s">
        <v>564</v>
      </c>
      <c r="B527" s="3" t="n">
        <v>46293</v>
      </c>
      <c r="C527" s="2" t="s">
        <v>27</v>
      </c>
      <c r="D527" s="2" t="s">
        <v>38</v>
      </c>
      <c r="E527" s="2" t="s">
        <v>47</v>
      </c>
      <c r="F527" s="2" t="s">
        <v>18</v>
      </c>
      <c r="G527" s="2" t="s">
        <v>19</v>
      </c>
      <c r="H527" s="2" t="n">
        <v>4.7</v>
      </c>
      <c r="I527" s="2" t="n">
        <v>8.4</v>
      </c>
      <c r="J527" s="2" t="s">
        <v>25</v>
      </c>
      <c r="K527" s="2"/>
      <c r="L527" s="3" t="n">
        <f aca="false">B527-WEEKDAY(B527,2)+1</f>
        <v>46293</v>
      </c>
      <c r="M527" s="4" t="n">
        <f aca="false">IFERROR(INDEX(02_Parâmetros!$B$14:$B$17,MATCH(C527,02_Parâmetros!$A$14:$A$17,0)),"")</f>
        <v>10</v>
      </c>
      <c r="N527" s="2" t="str">
        <f aca="false">IF(OR(H527="",M527=""),"",IF(H527&lt;=M527,"Sim","Não"))</f>
        <v>Sim</v>
      </c>
    </row>
    <row r="528" customFormat="false" ht="15" hidden="false" customHeight="false" outlineLevel="0" collapsed="false">
      <c r="A528" s="2" t="s">
        <v>565</v>
      </c>
      <c r="B528" s="3" t="n">
        <v>46293</v>
      </c>
      <c r="C528" s="2" t="s">
        <v>44</v>
      </c>
      <c r="D528" s="2" t="s">
        <v>16</v>
      </c>
      <c r="E528" s="2" t="s">
        <v>36</v>
      </c>
      <c r="F528" s="2" t="s">
        <v>24</v>
      </c>
      <c r="G528" s="2" t="s">
        <v>19</v>
      </c>
      <c r="H528" s="2" t="n">
        <v>1.5</v>
      </c>
      <c r="I528" s="2" t="n">
        <v>7.1</v>
      </c>
      <c r="J528" s="2" t="s">
        <v>20</v>
      </c>
      <c r="K528" s="2"/>
      <c r="L528" s="3" t="n">
        <f aca="false">B528-WEEKDAY(B528,2)+1</f>
        <v>46293</v>
      </c>
      <c r="M528" s="4" t="n">
        <f aca="false">IFERROR(INDEX(02_Parâmetros!$B$14:$B$17,MATCH(C528,02_Parâmetros!$A$14:$A$17,0)),"")</f>
        <v>2</v>
      </c>
      <c r="N528" s="2" t="str">
        <f aca="false">IF(OR(H528="",M528=""),"",IF(H528&lt;=M528,"Sim","Não"))</f>
        <v>Sim</v>
      </c>
    </row>
    <row r="529" customFormat="false" ht="15" hidden="false" customHeight="false" outlineLevel="0" collapsed="false">
      <c r="A529" s="2" t="s">
        <v>566</v>
      </c>
      <c r="B529" s="3" t="n">
        <v>46293</v>
      </c>
      <c r="C529" s="2" t="s">
        <v>27</v>
      </c>
      <c r="D529" s="2" t="s">
        <v>38</v>
      </c>
      <c r="E529" s="2" t="s">
        <v>47</v>
      </c>
      <c r="F529" s="2" t="s">
        <v>32</v>
      </c>
      <c r="G529" s="2" t="s">
        <v>19</v>
      </c>
      <c r="H529" s="2" t="n">
        <v>9.9</v>
      </c>
      <c r="I529" s="2" t="n">
        <v>5.6</v>
      </c>
      <c r="J529" s="2" t="s">
        <v>20</v>
      </c>
      <c r="K529" s="2"/>
      <c r="L529" s="3" t="n">
        <f aca="false">B529-WEEKDAY(B529,2)+1</f>
        <v>46293</v>
      </c>
      <c r="M529" s="4" t="n">
        <f aca="false">IFERROR(INDEX(02_Parâmetros!$B$14:$B$17,MATCH(C529,02_Parâmetros!$A$14:$A$17,0)),"")</f>
        <v>10</v>
      </c>
      <c r="N529" s="2" t="str">
        <f aca="false">IF(OR(H529="",M529=""),"",IF(H529&lt;=M529,"Sim","Não"))</f>
        <v>Sim</v>
      </c>
    </row>
    <row r="530" customFormat="false" ht="15" hidden="false" customHeight="false" outlineLevel="0" collapsed="false">
      <c r="A530" s="2" t="s">
        <v>567</v>
      </c>
      <c r="B530" s="3" t="n">
        <v>46293</v>
      </c>
      <c r="C530" s="2" t="s">
        <v>41</v>
      </c>
      <c r="D530" s="2" t="s">
        <v>38</v>
      </c>
      <c r="E530" s="2" t="s">
        <v>56</v>
      </c>
      <c r="F530" s="2" t="s">
        <v>70</v>
      </c>
      <c r="G530" s="2" t="s">
        <v>19</v>
      </c>
      <c r="H530" s="2" t="n">
        <v>200.1</v>
      </c>
      <c r="I530" s="2" t="n">
        <v>8.6</v>
      </c>
      <c r="J530" s="2" t="s">
        <v>20</v>
      </c>
      <c r="K530" s="2"/>
      <c r="L530" s="3" t="n">
        <f aca="false">B530-WEEKDAY(B530,2)+1</f>
        <v>46293</v>
      </c>
      <c r="M530" s="4" t="n">
        <f aca="false">IFERROR(INDEX(02_Parâmetros!$B$14:$B$17,MATCH(C530,02_Parâmetros!$A$14:$A$17,0)),"")</f>
        <v>240</v>
      </c>
      <c r="N530" s="2" t="str">
        <f aca="false">IF(OR(H530="",M530=""),"",IF(H530&lt;=M530,"Sim","Não"))</f>
        <v>Sim</v>
      </c>
    </row>
    <row r="531" customFormat="false" ht="15" hidden="false" customHeight="false" outlineLevel="0" collapsed="false">
      <c r="A531" s="2" t="s">
        <v>568</v>
      </c>
      <c r="B531" s="3" t="n">
        <v>46293</v>
      </c>
      <c r="C531" s="2" t="s">
        <v>15</v>
      </c>
      <c r="D531" s="2" t="s">
        <v>16</v>
      </c>
      <c r="E531" s="2" t="s">
        <v>17</v>
      </c>
      <c r="F531" s="2" t="s">
        <v>18</v>
      </c>
      <c r="G531" s="2" t="s">
        <v>19</v>
      </c>
      <c r="H531" s="2" t="n">
        <v>0.9</v>
      </c>
      <c r="I531" s="2" t="n">
        <v>14.3</v>
      </c>
      <c r="J531" s="2" t="s">
        <v>20</v>
      </c>
      <c r="K531" s="2"/>
      <c r="L531" s="3" t="n">
        <f aca="false">B531-WEEKDAY(B531,2)+1</f>
        <v>46293</v>
      </c>
      <c r="M531" s="4" t="n">
        <f aca="false">IFERROR(INDEX(02_Parâmetros!$B$14:$B$17,MATCH(C531,02_Parâmetros!$A$14:$A$17,0)),"")</f>
        <v>1</v>
      </c>
      <c r="N531" s="2" t="str">
        <f aca="false">IF(OR(H531="",M531=""),"",IF(H531&lt;=M531,"Sim","Não"))</f>
        <v>Sim</v>
      </c>
    </row>
    <row r="532" customFormat="false" ht="15" hidden="false" customHeight="false" outlineLevel="0" collapsed="false">
      <c r="A532" s="2" t="s">
        <v>569</v>
      </c>
      <c r="B532" s="3" t="n">
        <v>46293</v>
      </c>
      <c r="C532" s="2" t="s">
        <v>27</v>
      </c>
      <c r="D532" s="2" t="s">
        <v>22</v>
      </c>
      <c r="E532" s="2" t="s">
        <v>23</v>
      </c>
      <c r="F532" s="2" t="s">
        <v>42</v>
      </c>
      <c r="G532" s="2" t="s">
        <v>19</v>
      </c>
      <c r="H532" s="2" t="n">
        <v>2.8</v>
      </c>
      <c r="I532" s="2" t="n">
        <v>9.3</v>
      </c>
      <c r="J532" s="2" t="s">
        <v>20</v>
      </c>
      <c r="K532" s="2" t="n">
        <v>4</v>
      </c>
      <c r="L532" s="3" t="n">
        <f aca="false">B532-WEEKDAY(B532,2)+1</f>
        <v>46293</v>
      </c>
      <c r="M532" s="4" t="n">
        <f aca="false">IFERROR(INDEX(02_Parâmetros!$B$14:$B$17,MATCH(C532,02_Parâmetros!$A$14:$A$17,0)),"")</f>
        <v>10</v>
      </c>
      <c r="N532" s="2" t="str">
        <f aca="false">IF(OR(H532="",M532=""),"",IF(H532&lt;=M532,"Sim","Não"))</f>
        <v>Sim</v>
      </c>
    </row>
    <row r="533" customFormat="false" ht="15" hidden="false" customHeight="false" outlineLevel="0" collapsed="false">
      <c r="A533" s="2" t="s">
        <v>570</v>
      </c>
      <c r="B533" s="3" t="n">
        <v>46293</v>
      </c>
      <c r="C533" s="2" t="s">
        <v>44</v>
      </c>
      <c r="D533" s="2" t="s">
        <v>38</v>
      </c>
      <c r="E533" s="2" t="s">
        <v>39</v>
      </c>
      <c r="F533" s="2" t="s">
        <v>70</v>
      </c>
      <c r="G533" s="2" t="s">
        <v>19</v>
      </c>
      <c r="H533" s="2" t="n">
        <v>1.1</v>
      </c>
      <c r="I533" s="2" t="n">
        <v>7</v>
      </c>
      <c r="J533" s="2" t="s">
        <v>25</v>
      </c>
      <c r="K533" s="2"/>
      <c r="L533" s="3" t="n">
        <f aca="false">B533-WEEKDAY(B533,2)+1</f>
        <v>46293</v>
      </c>
      <c r="M533" s="4" t="n">
        <f aca="false">IFERROR(INDEX(02_Parâmetros!$B$14:$B$17,MATCH(C533,02_Parâmetros!$A$14:$A$17,0)),"")</f>
        <v>2</v>
      </c>
      <c r="N533" s="2" t="str">
        <f aca="false">IF(OR(H533="",M533=""),"",IF(H533&lt;=M533,"Sim","Não"))</f>
        <v>Sim</v>
      </c>
    </row>
    <row r="534" customFormat="false" ht="15" hidden="false" customHeight="false" outlineLevel="0" collapsed="false">
      <c r="A534" s="2" t="s">
        <v>571</v>
      </c>
      <c r="B534" s="3" t="n">
        <v>46293</v>
      </c>
      <c r="C534" s="2" t="s">
        <v>41</v>
      </c>
      <c r="D534" s="2" t="s">
        <v>22</v>
      </c>
      <c r="E534" s="2" t="s">
        <v>28</v>
      </c>
      <c r="F534" s="2" t="s">
        <v>70</v>
      </c>
      <c r="G534" s="2" t="s">
        <v>19</v>
      </c>
      <c r="H534" s="2" t="n">
        <v>360.8</v>
      </c>
      <c r="I534" s="2" t="n">
        <v>10.2</v>
      </c>
      <c r="J534" s="2" t="s">
        <v>20</v>
      </c>
      <c r="K534" s="2" t="n">
        <v>4</v>
      </c>
      <c r="L534" s="3" t="n">
        <f aca="false">B534-WEEKDAY(B534,2)+1</f>
        <v>46293</v>
      </c>
      <c r="M534" s="4" t="n">
        <f aca="false">IFERROR(INDEX(02_Parâmetros!$B$14:$B$17,MATCH(C534,02_Parâmetros!$A$14:$A$17,0)),"")</f>
        <v>240</v>
      </c>
      <c r="N534" s="2" t="str">
        <f aca="false">IF(OR(H534="",M534=""),"",IF(H534&lt;=M534,"Sim","Não"))</f>
        <v>Não</v>
      </c>
    </row>
    <row r="535" customFormat="false" ht="15" hidden="false" customHeight="false" outlineLevel="0" collapsed="false">
      <c r="A535" s="2" t="s">
        <v>572</v>
      </c>
      <c r="B535" s="3" t="n">
        <v>46293</v>
      </c>
      <c r="C535" s="2" t="s">
        <v>27</v>
      </c>
      <c r="D535" s="2" t="s">
        <v>16</v>
      </c>
      <c r="E535" s="2" t="s">
        <v>17</v>
      </c>
      <c r="F535" s="2" t="s">
        <v>34</v>
      </c>
      <c r="G535" s="2" t="s">
        <v>19</v>
      </c>
      <c r="H535" s="2" t="n">
        <v>20.6</v>
      </c>
      <c r="I535" s="2" t="n">
        <v>8.9</v>
      </c>
      <c r="J535" s="2" t="s">
        <v>20</v>
      </c>
      <c r="K535" s="2" t="n">
        <v>4</v>
      </c>
      <c r="L535" s="3" t="n">
        <f aca="false">B535-WEEKDAY(B535,2)+1</f>
        <v>46293</v>
      </c>
      <c r="M535" s="4" t="n">
        <f aca="false">IFERROR(INDEX(02_Parâmetros!$B$14:$B$17,MATCH(C535,02_Parâmetros!$A$14:$A$17,0)),"")</f>
        <v>10</v>
      </c>
      <c r="N535" s="2" t="str">
        <f aca="false">IF(OR(H535="",M535=""),"",IF(H535&lt;=M535,"Sim","Não"))</f>
        <v>Não</v>
      </c>
    </row>
    <row r="536" customFormat="false" ht="15" hidden="false" customHeight="false" outlineLevel="0" collapsed="false">
      <c r="A536" s="2" t="s">
        <v>573</v>
      </c>
      <c r="B536" s="3" t="n">
        <v>46293</v>
      </c>
      <c r="C536" s="2" t="s">
        <v>41</v>
      </c>
      <c r="D536" s="2" t="s">
        <v>22</v>
      </c>
      <c r="E536" s="2" t="s">
        <v>23</v>
      </c>
      <c r="F536" s="2" t="s">
        <v>18</v>
      </c>
      <c r="G536" s="2" t="s">
        <v>19</v>
      </c>
      <c r="H536" s="2" t="n">
        <v>131.7</v>
      </c>
      <c r="I536" s="2" t="n">
        <v>9.5</v>
      </c>
      <c r="J536" s="2" t="s">
        <v>20</v>
      </c>
      <c r="K536" s="2" t="n">
        <v>5</v>
      </c>
      <c r="L536" s="3" t="n">
        <f aca="false">B536-WEEKDAY(B536,2)+1</f>
        <v>46293</v>
      </c>
      <c r="M536" s="4" t="n">
        <f aca="false">IFERROR(INDEX(02_Parâmetros!$B$14:$B$17,MATCH(C536,02_Parâmetros!$A$14:$A$17,0)),"")</f>
        <v>240</v>
      </c>
      <c r="N536" s="2" t="str">
        <f aca="false">IF(OR(H536="",M536=""),"",IF(H536&lt;=M536,"Sim","Não"))</f>
        <v>Sim</v>
      </c>
    </row>
    <row r="537" customFormat="false" ht="15" hidden="false" customHeight="false" outlineLevel="0" collapsed="false">
      <c r="A537" s="2" t="s">
        <v>574</v>
      </c>
      <c r="B537" s="3" t="n">
        <v>46293</v>
      </c>
      <c r="C537" s="2" t="s">
        <v>27</v>
      </c>
      <c r="D537" s="2" t="s">
        <v>38</v>
      </c>
      <c r="E537" s="2" t="s">
        <v>39</v>
      </c>
      <c r="F537" s="2" t="s">
        <v>70</v>
      </c>
      <c r="G537" s="2" t="s">
        <v>19</v>
      </c>
      <c r="H537" s="2" t="n">
        <v>2.6</v>
      </c>
      <c r="I537" s="2" t="n">
        <v>5.1</v>
      </c>
      <c r="J537" s="2" t="s">
        <v>25</v>
      </c>
      <c r="K537" s="2"/>
      <c r="L537" s="3" t="n">
        <f aca="false">B537-WEEKDAY(B537,2)+1</f>
        <v>46293</v>
      </c>
      <c r="M537" s="4" t="n">
        <f aca="false">IFERROR(INDEX(02_Parâmetros!$B$14:$B$17,MATCH(C537,02_Parâmetros!$A$14:$A$17,0)),"")</f>
        <v>10</v>
      </c>
      <c r="N537" s="2" t="str">
        <f aca="false">IF(OR(H537="",M537=""),"",IF(H537&lt;=M537,"Sim","Não"))</f>
        <v>Sim</v>
      </c>
    </row>
    <row r="538" customFormat="false" ht="15" hidden="false" customHeight="false" outlineLevel="0" collapsed="false">
      <c r="A538" s="2" t="s">
        <v>575</v>
      </c>
      <c r="B538" s="3" t="n">
        <v>46293</v>
      </c>
      <c r="C538" s="2" t="s">
        <v>41</v>
      </c>
      <c r="D538" s="2" t="s">
        <v>38</v>
      </c>
      <c r="E538" s="2" t="s">
        <v>39</v>
      </c>
      <c r="F538" s="2" t="s">
        <v>32</v>
      </c>
      <c r="G538" s="2" t="s">
        <v>19</v>
      </c>
      <c r="H538" s="2" t="n">
        <v>199.1</v>
      </c>
      <c r="I538" s="2" t="n">
        <v>8.3</v>
      </c>
      <c r="J538" s="2" t="s">
        <v>20</v>
      </c>
      <c r="K538" s="2"/>
      <c r="L538" s="3" t="n">
        <f aca="false">B538-WEEKDAY(B538,2)+1</f>
        <v>46293</v>
      </c>
      <c r="M538" s="4" t="n">
        <f aca="false">IFERROR(INDEX(02_Parâmetros!$B$14:$B$17,MATCH(C538,02_Parâmetros!$A$14:$A$17,0)),"")</f>
        <v>240</v>
      </c>
      <c r="N538" s="2" t="str">
        <f aca="false">IF(OR(H538="",M538=""),"",IF(H538&lt;=M538,"Sim","Não"))</f>
        <v>Sim</v>
      </c>
    </row>
    <row r="539" customFormat="false" ht="15" hidden="false" customHeight="false" outlineLevel="0" collapsed="false">
      <c r="A539" s="2" t="s">
        <v>576</v>
      </c>
      <c r="B539" s="3" t="n">
        <v>46293</v>
      </c>
      <c r="C539" s="2" t="s">
        <v>27</v>
      </c>
      <c r="D539" s="2" t="s">
        <v>22</v>
      </c>
      <c r="E539" s="2" t="s">
        <v>23</v>
      </c>
      <c r="F539" s="2" t="s">
        <v>18</v>
      </c>
      <c r="G539" s="2" t="s">
        <v>19</v>
      </c>
      <c r="H539" s="2" t="n">
        <v>7.9</v>
      </c>
      <c r="I539" s="2" t="n">
        <v>6.6</v>
      </c>
      <c r="J539" s="2" t="s">
        <v>20</v>
      </c>
      <c r="K539" s="2" t="n">
        <v>5</v>
      </c>
      <c r="L539" s="3" t="n">
        <f aca="false">B539-WEEKDAY(B539,2)+1</f>
        <v>46293</v>
      </c>
      <c r="M539" s="4" t="n">
        <f aca="false">IFERROR(INDEX(02_Parâmetros!$B$14:$B$17,MATCH(C539,02_Parâmetros!$A$14:$A$17,0)),"")</f>
        <v>10</v>
      </c>
      <c r="N539" s="2" t="str">
        <f aca="false">IF(OR(H539="",M539=""),"",IF(H539&lt;=M539,"Sim","Não"))</f>
        <v>Sim</v>
      </c>
    </row>
    <row r="540" customFormat="false" ht="15" hidden="false" customHeight="false" outlineLevel="0" collapsed="false">
      <c r="A540" s="2" t="s">
        <v>577</v>
      </c>
      <c r="B540" s="3" t="n">
        <v>46293</v>
      </c>
      <c r="C540" s="2" t="s">
        <v>41</v>
      </c>
      <c r="D540" s="2" t="s">
        <v>38</v>
      </c>
      <c r="E540" s="2" t="s">
        <v>47</v>
      </c>
      <c r="F540" s="2" t="s">
        <v>32</v>
      </c>
      <c r="G540" s="2" t="s">
        <v>19</v>
      </c>
      <c r="H540" s="2" t="n">
        <v>170.4</v>
      </c>
      <c r="I540" s="2" t="n">
        <v>8.5</v>
      </c>
      <c r="J540" s="2" t="s">
        <v>20</v>
      </c>
      <c r="K540" s="2" t="n">
        <v>4</v>
      </c>
      <c r="L540" s="3" t="n">
        <f aca="false">B540-WEEKDAY(B540,2)+1</f>
        <v>46293</v>
      </c>
      <c r="M540" s="4" t="n">
        <f aca="false">IFERROR(INDEX(02_Parâmetros!$B$14:$B$17,MATCH(C540,02_Parâmetros!$A$14:$A$17,0)),"")</f>
        <v>240</v>
      </c>
      <c r="N540" s="2" t="str">
        <f aca="false">IF(OR(H540="",M540=""),"",IF(H540&lt;=M540,"Sim","Não"))</f>
        <v>Sim</v>
      </c>
    </row>
    <row r="541" customFormat="false" ht="15" hidden="false" customHeight="false" outlineLevel="0" collapsed="false">
      <c r="A541" s="2" t="s">
        <v>578</v>
      </c>
      <c r="B541" s="3" t="n">
        <v>46293</v>
      </c>
      <c r="C541" s="2" t="s">
        <v>41</v>
      </c>
      <c r="D541" s="2" t="s">
        <v>38</v>
      </c>
      <c r="E541" s="2" t="s">
        <v>47</v>
      </c>
      <c r="F541" s="2" t="s">
        <v>24</v>
      </c>
      <c r="G541" s="2" t="s">
        <v>19</v>
      </c>
      <c r="H541" s="2" t="n">
        <v>202.2</v>
      </c>
      <c r="I541" s="2" t="n">
        <v>13.2</v>
      </c>
      <c r="J541" s="2" t="s">
        <v>25</v>
      </c>
      <c r="K541" s="2"/>
      <c r="L541" s="3" t="n">
        <f aca="false">B541-WEEKDAY(B541,2)+1</f>
        <v>46293</v>
      </c>
      <c r="M541" s="4" t="n">
        <f aca="false">IFERROR(INDEX(02_Parâmetros!$B$14:$B$17,MATCH(C541,02_Parâmetros!$A$14:$A$17,0)),"")</f>
        <v>240</v>
      </c>
      <c r="N541" s="2" t="str">
        <f aca="false">IF(OR(H541="",M541=""),"",IF(H541&lt;=M541,"Sim","Não"))</f>
        <v>Sim</v>
      </c>
    </row>
    <row r="542" customFormat="false" ht="15" hidden="false" customHeight="false" outlineLevel="0" collapsed="false">
      <c r="A542" s="2" t="s">
        <v>579</v>
      </c>
      <c r="B542" s="3" t="n">
        <v>46293</v>
      </c>
      <c r="C542" s="2" t="s">
        <v>27</v>
      </c>
      <c r="D542" s="2" t="s">
        <v>22</v>
      </c>
      <c r="E542" s="2" t="s">
        <v>28</v>
      </c>
      <c r="F542" s="2" t="s">
        <v>70</v>
      </c>
      <c r="G542" s="2" t="s">
        <v>19</v>
      </c>
      <c r="H542" s="2" t="n">
        <v>7.2</v>
      </c>
      <c r="I542" s="2" t="n">
        <v>8.1</v>
      </c>
      <c r="J542" s="2" t="s">
        <v>25</v>
      </c>
      <c r="K542" s="2"/>
      <c r="L542" s="3" t="n">
        <f aca="false">B542-WEEKDAY(B542,2)+1</f>
        <v>46293</v>
      </c>
      <c r="M542" s="4" t="n">
        <f aca="false">IFERROR(INDEX(02_Parâmetros!$B$14:$B$17,MATCH(C542,02_Parâmetros!$A$14:$A$17,0)),"")</f>
        <v>10</v>
      </c>
      <c r="N542" s="2" t="str">
        <f aca="false">IF(OR(H542="",M542=""),"",IF(H542&lt;=M542,"Sim","Não"))</f>
        <v>Sim</v>
      </c>
    </row>
    <row r="543" customFormat="false" ht="15" hidden="false" customHeight="false" outlineLevel="0" collapsed="false">
      <c r="A543" s="2" t="s">
        <v>580</v>
      </c>
      <c r="B543" s="3" t="n">
        <v>46293</v>
      </c>
      <c r="C543" s="2" t="s">
        <v>41</v>
      </c>
      <c r="D543" s="2" t="s">
        <v>22</v>
      </c>
      <c r="E543" s="2" t="s">
        <v>23</v>
      </c>
      <c r="F543" s="2" t="s">
        <v>18</v>
      </c>
      <c r="G543" s="2" t="s">
        <v>19</v>
      </c>
      <c r="H543" s="2" t="n">
        <v>211.9</v>
      </c>
      <c r="I543" s="2" t="n">
        <v>17</v>
      </c>
      <c r="J543" s="2" t="s">
        <v>25</v>
      </c>
      <c r="K543" s="2"/>
      <c r="L543" s="3" t="n">
        <f aca="false">B543-WEEKDAY(B543,2)+1</f>
        <v>46293</v>
      </c>
      <c r="M543" s="4" t="n">
        <f aca="false">IFERROR(INDEX(02_Parâmetros!$B$14:$B$17,MATCH(C543,02_Parâmetros!$A$14:$A$17,0)),"")</f>
        <v>240</v>
      </c>
      <c r="N543" s="2" t="str">
        <f aca="false">IF(OR(H543="",M543=""),"",IF(H543&lt;=M543,"Sim","Não"))</f>
        <v>Sim</v>
      </c>
    </row>
    <row r="544" customFormat="false" ht="15" hidden="false" customHeight="false" outlineLevel="0" collapsed="false">
      <c r="A544" s="2" t="s">
        <v>581</v>
      </c>
      <c r="B544" s="3" t="n">
        <v>46293</v>
      </c>
      <c r="C544" s="2" t="s">
        <v>44</v>
      </c>
      <c r="D544" s="2" t="s">
        <v>38</v>
      </c>
      <c r="E544" s="2" t="s">
        <v>56</v>
      </c>
      <c r="F544" s="2" t="s">
        <v>24</v>
      </c>
      <c r="G544" s="2" t="s">
        <v>19</v>
      </c>
      <c r="H544" s="2" t="n">
        <v>1.6</v>
      </c>
      <c r="I544" s="2" t="n">
        <v>9.5</v>
      </c>
      <c r="J544" s="2" t="s">
        <v>20</v>
      </c>
      <c r="K544" s="2"/>
      <c r="L544" s="3" t="n">
        <f aca="false">B544-WEEKDAY(B544,2)+1</f>
        <v>46293</v>
      </c>
      <c r="M544" s="4" t="n">
        <f aca="false">IFERROR(INDEX(02_Parâmetros!$B$14:$B$17,MATCH(C544,02_Parâmetros!$A$14:$A$17,0)),"")</f>
        <v>2</v>
      </c>
      <c r="N544" s="2" t="str">
        <f aca="false">IF(OR(H544="",M544=""),"",IF(H544&lt;=M544,"Sim","Não"))</f>
        <v>Sim</v>
      </c>
    </row>
    <row r="545" customFormat="false" ht="15" hidden="false" customHeight="false" outlineLevel="0" collapsed="false">
      <c r="A545" s="2" t="s">
        <v>582</v>
      </c>
      <c r="B545" s="3" t="n">
        <v>46293</v>
      </c>
      <c r="C545" s="2" t="s">
        <v>27</v>
      </c>
      <c r="D545" s="2" t="s">
        <v>38</v>
      </c>
      <c r="E545" s="2" t="s">
        <v>56</v>
      </c>
      <c r="F545" s="2" t="s">
        <v>18</v>
      </c>
      <c r="G545" s="2" t="s">
        <v>19</v>
      </c>
      <c r="H545" s="2" t="n">
        <v>5.6</v>
      </c>
      <c r="I545" s="2" t="n">
        <v>8.7</v>
      </c>
      <c r="J545" s="2" t="s">
        <v>25</v>
      </c>
      <c r="K545" s="2" t="n">
        <v>1</v>
      </c>
      <c r="L545" s="3" t="n">
        <f aca="false">B545-WEEKDAY(B545,2)+1</f>
        <v>46293</v>
      </c>
      <c r="M545" s="4" t="n">
        <f aca="false">IFERROR(INDEX(02_Parâmetros!$B$14:$B$17,MATCH(C545,02_Parâmetros!$A$14:$A$17,0)),"")</f>
        <v>10</v>
      </c>
      <c r="N545" s="2" t="str">
        <f aca="false">IF(OR(H545="",M545=""),"",IF(H545&lt;=M545,"Sim","Não"))</f>
        <v>Sim</v>
      </c>
    </row>
    <row r="546" customFormat="false" ht="15" hidden="false" customHeight="false" outlineLevel="0" collapsed="false">
      <c r="A546" s="2" t="s">
        <v>583</v>
      </c>
      <c r="B546" s="3" t="n">
        <v>46293</v>
      </c>
      <c r="C546" s="2" t="s">
        <v>15</v>
      </c>
      <c r="D546" s="2" t="s">
        <v>16</v>
      </c>
      <c r="E546" s="2" t="s">
        <v>17</v>
      </c>
      <c r="F546" s="2" t="s">
        <v>18</v>
      </c>
      <c r="G546" s="2" t="s">
        <v>19</v>
      </c>
      <c r="H546" s="2" t="n">
        <v>0.8</v>
      </c>
      <c r="I546" s="2" t="n">
        <v>22.7</v>
      </c>
      <c r="J546" s="2" t="s">
        <v>25</v>
      </c>
      <c r="K546" s="2"/>
      <c r="L546" s="3" t="n">
        <f aca="false">B546-WEEKDAY(B546,2)+1</f>
        <v>46293</v>
      </c>
      <c r="M546" s="4" t="n">
        <f aca="false">IFERROR(INDEX(02_Parâmetros!$B$14:$B$17,MATCH(C546,02_Parâmetros!$A$14:$A$17,0)),"")</f>
        <v>1</v>
      </c>
      <c r="N546" s="2" t="str">
        <f aca="false">IF(OR(H546="",M546=""),"",IF(H546&lt;=M546,"Sim","Não"))</f>
        <v>Sim</v>
      </c>
    </row>
    <row r="547" customFormat="false" ht="15" hidden="false" customHeight="false" outlineLevel="0" collapsed="false">
      <c r="A547" s="2" t="s">
        <v>584</v>
      </c>
      <c r="B547" s="3" t="n">
        <v>46293</v>
      </c>
      <c r="C547" s="2" t="s">
        <v>44</v>
      </c>
      <c r="D547" s="2" t="s">
        <v>38</v>
      </c>
      <c r="E547" s="2" t="s">
        <v>56</v>
      </c>
      <c r="F547" s="2" t="s">
        <v>18</v>
      </c>
      <c r="G547" s="2" t="s">
        <v>19</v>
      </c>
      <c r="H547" s="2" t="n">
        <v>2</v>
      </c>
      <c r="I547" s="2" t="n">
        <v>8.4</v>
      </c>
      <c r="J547" s="2" t="s">
        <v>20</v>
      </c>
      <c r="K547" s="2" t="n">
        <v>5</v>
      </c>
      <c r="L547" s="3" t="n">
        <f aca="false">B547-WEEKDAY(B547,2)+1</f>
        <v>46293</v>
      </c>
      <c r="M547" s="4" t="n">
        <f aca="false">IFERROR(INDEX(02_Parâmetros!$B$14:$B$17,MATCH(C547,02_Parâmetros!$A$14:$A$17,0)),"")</f>
        <v>2</v>
      </c>
      <c r="N547" s="2" t="str">
        <f aca="false">IF(OR(H547="",M547=""),"",IF(H547&lt;=M547,"Sim","Não"))</f>
        <v>Sim</v>
      </c>
    </row>
    <row r="548" customFormat="false" ht="15" hidden="false" customHeight="false" outlineLevel="0" collapsed="false">
      <c r="A548" s="2" t="s">
        <v>585</v>
      </c>
      <c r="B548" s="3" t="n">
        <v>46293</v>
      </c>
      <c r="C548" s="2" t="s">
        <v>44</v>
      </c>
      <c r="D548" s="2" t="s">
        <v>22</v>
      </c>
      <c r="E548" s="2" t="s">
        <v>23</v>
      </c>
      <c r="F548" s="2" t="s">
        <v>42</v>
      </c>
      <c r="G548" s="2" t="s">
        <v>19</v>
      </c>
      <c r="H548" s="2" t="n">
        <v>1.2</v>
      </c>
      <c r="I548" s="2" t="n">
        <v>5.6</v>
      </c>
      <c r="J548" s="2" t="s">
        <v>25</v>
      </c>
      <c r="K548" s="2"/>
      <c r="L548" s="3" t="n">
        <f aca="false">B548-WEEKDAY(B548,2)+1</f>
        <v>46293</v>
      </c>
      <c r="M548" s="4" t="n">
        <f aca="false">IFERROR(INDEX(02_Parâmetros!$B$14:$B$17,MATCH(C548,02_Parâmetros!$A$14:$A$17,0)),"")</f>
        <v>2</v>
      </c>
      <c r="N548" s="2" t="str">
        <f aca="false">IF(OR(H548="",M548=""),"",IF(H548&lt;=M548,"Sim","Não"))</f>
        <v>Sim</v>
      </c>
    </row>
    <row r="549" customFormat="false" ht="15" hidden="false" customHeight="false" outlineLevel="0" collapsed="false">
      <c r="A549" s="2" t="s">
        <v>586</v>
      </c>
      <c r="B549" s="3" t="n">
        <v>46293</v>
      </c>
      <c r="C549" s="2" t="s">
        <v>44</v>
      </c>
      <c r="D549" s="2" t="s">
        <v>38</v>
      </c>
      <c r="E549" s="2" t="s">
        <v>39</v>
      </c>
      <c r="F549" s="2" t="s">
        <v>32</v>
      </c>
      <c r="G549" s="2" t="s">
        <v>19</v>
      </c>
      <c r="H549" s="2" t="n">
        <v>1.5</v>
      </c>
      <c r="I549" s="2" t="n">
        <v>7.4</v>
      </c>
      <c r="J549" s="2" t="s">
        <v>20</v>
      </c>
      <c r="K549" s="2"/>
      <c r="L549" s="3" t="n">
        <f aca="false">B549-WEEKDAY(B549,2)+1</f>
        <v>46293</v>
      </c>
      <c r="M549" s="4" t="n">
        <f aca="false">IFERROR(INDEX(02_Parâmetros!$B$14:$B$17,MATCH(C549,02_Parâmetros!$A$14:$A$17,0)),"")</f>
        <v>2</v>
      </c>
      <c r="N549" s="2" t="str">
        <f aca="false">IF(OR(H549="",M549=""),"",IF(H549&lt;=M549,"Sim","Não"))</f>
        <v>Sim</v>
      </c>
    </row>
    <row r="550" customFormat="false" ht="15" hidden="false" customHeight="false" outlineLevel="0" collapsed="false">
      <c r="A550" s="2" t="s">
        <v>587</v>
      </c>
      <c r="B550" s="3" t="n">
        <v>46293</v>
      </c>
      <c r="C550" s="2" t="s">
        <v>15</v>
      </c>
      <c r="D550" s="2" t="s">
        <v>16</v>
      </c>
      <c r="E550" s="2" t="s">
        <v>17</v>
      </c>
      <c r="F550" s="2" t="s">
        <v>42</v>
      </c>
      <c r="G550" s="2" t="s">
        <v>19</v>
      </c>
      <c r="H550" s="2" t="n">
        <v>1</v>
      </c>
      <c r="I550" s="2" t="n">
        <v>11.1</v>
      </c>
      <c r="J550" s="2" t="s">
        <v>20</v>
      </c>
      <c r="K550" s="2"/>
      <c r="L550" s="3" t="n">
        <f aca="false">B550-WEEKDAY(B550,2)+1</f>
        <v>46293</v>
      </c>
      <c r="M550" s="4" t="n">
        <f aca="false">IFERROR(INDEX(02_Parâmetros!$B$14:$B$17,MATCH(C550,02_Parâmetros!$A$14:$A$17,0)),"")</f>
        <v>1</v>
      </c>
      <c r="N550" s="2" t="str">
        <f aca="false">IF(OR(H550="",M550=""),"",IF(H550&lt;=M550,"Sim","Não"))</f>
        <v>Sim</v>
      </c>
    </row>
    <row r="551" customFormat="false" ht="15" hidden="false" customHeight="false" outlineLevel="0" collapsed="false">
      <c r="A551" s="2" t="s">
        <v>588</v>
      </c>
      <c r="B551" s="3" t="n">
        <v>46293</v>
      </c>
      <c r="C551" s="2" t="s">
        <v>44</v>
      </c>
      <c r="D551" s="2" t="s">
        <v>22</v>
      </c>
      <c r="E551" s="2" t="s">
        <v>28</v>
      </c>
      <c r="F551" s="2" t="s">
        <v>18</v>
      </c>
      <c r="G551" s="2" t="s">
        <v>19</v>
      </c>
      <c r="H551" s="2" t="n">
        <v>0.9</v>
      </c>
      <c r="I551" s="2" t="n">
        <v>14.6</v>
      </c>
      <c r="J551" s="2" t="s">
        <v>20</v>
      </c>
      <c r="K551" s="2"/>
      <c r="L551" s="3" t="n">
        <f aca="false">B551-WEEKDAY(B551,2)+1</f>
        <v>46293</v>
      </c>
      <c r="M551" s="4" t="n">
        <f aca="false">IFERROR(INDEX(02_Parâmetros!$B$14:$B$17,MATCH(C551,02_Parâmetros!$A$14:$A$17,0)),"")</f>
        <v>2</v>
      </c>
      <c r="N551" s="2" t="str">
        <f aca="false">IF(OR(H551="",M551=""),"",IF(H551&lt;=M551,"Sim","Não"))</f>
        <v>Sim</v>
      </c>
    </row>
    <row r="552" customFormat="false" ht="15" hidden="false" customHeight="false" outlineLevel="0" collapsed="false">
      <c r="A552" s="2" t="s">
        <v>589</v>
      </c>
      <c r="B552" s="3" t="n">
        <v>46293</v>
      </c>
      <c r="C552" s="2" t="s">
        <v>41</v>
      </c>
      <c r="D552" s="2" t="s">
        <v>38</v>
      </c>
      <c r="E552" s="2" t="s">
        <v>47</v>
      </c>
      <c r="F552" s="2" t="s">
        <v>24</v>
      </c>
      <c r="G552" s="2" t="s">
        <v>19</v>
      </c>
      <c r="H552" s="2" t="n">
        <v>659.2</v>
      </c>
      <c r="I552" s="2" t="n">
        <v>16.2</v>
      </c>
      <c r="J552" s="2" t="s">
        <v>20</v>
      </c>
      <c r="K552" s="2"/>
      <c r="L552" s="3" t="n">
        <f aca="false">B552-WEEKDAY(B552,2)+1</f>
        <v>46293</v>
      </c>
      <c r="M552" s="4" t="n">
        <f aca="false">IFERROR(INDEX(02_Parâmetros!$B$14:$B$17,MATCH(C552,02_Parâmetros!$A$14:$A$17,0)),"")</f>
        <v>240</v>
      </c>
      <c r="N552" s="2" t="str">
        <f aca="false">IF(OR(H552="",M552=""),"",IF(H552&lt;=M552,"Sim","Não"))</f>
        <v>Não</v>
      </c>
    </row>
    <row r="553" customFormat="false" ht="15" hidden="false" customHeight="false" outlineLevel="0" collapsed="false">
      <c r="A553" s="2" t="s">
        <v>590</v>
      </c>
      <c r="B553" s="3" t="n">
        <v>46293</v>
      </c>
      <c r="C553" s="2" t="s">
        <v>15</v>
      </c>
      <c r="D553" s="2" t="s">
        <v>16</v>
      </c>
      <c r="E553" s="2" t="s">
        <v>31</v>
      </c>
      <c r="F553" s="2" t="s">
        <v>32</v>
      </c>
      <c r="G553" s="2" t="s">
        <v>19</v>
      </c>
      <c r="H553" s="2" t="n">
        <v>0.8</v>
      </c>
      <c r="I553" s="2" t="n">
        <v>13.2</v>
      </c>
      <c r="J553" s="2" t="s">
        <v>25</v>
      </c>
      <c r="K553" s="2"/>
      <c r="L553" s="3" t="n">
        <f aca="false">B553-WEEKDAY(B553,2)+1</f>
        <v>46293</v>
      </c>
      <c r="M553" s="4" t="n">
        <f aca="false">IFERROR(INDEX(02_Parâmetros!$B$14:$B$17,MATCH(C553,02_Parâmetros!$A$14:$A$17,0)),"")</f>
        <v>1</v>
      </c>
      <c r="N553" s="2" t="str">
        <f aca="false">IF(OR(H553="",M553=""),"",IF(H553&lt;=M553,"Sim","Não"))</f>
        <v>Sim</v>
      </c>
    </row>
    <row r="554" customFormat="false" ht="15" hidden="false" customHeight="false" outlineLevel="0" collapsed="false">
      <c r="A554" s="2" t="s">
        <v>591</v>
      </c>
      <c r="B554" s="3" t="n">
        <v>46293</v>
      </c>
      <c r="C554" s="2" t="s">
        <v>44</v>
      </c>
      <c r="D554" s="2" t="s">
        <v>16</v>
      </c>
      <c r="E554" s="2" t="s">
        <v>17</v>
      </c>
      <c r="F554" s="2" t="s">
        <v>42</v>
      </c>
      <c r="G554" s="2" t="s">
        <v>19</v>
      </c>
      <c r="H554" s="2" t="n">
        <v>1.1</v>
      </c>
      <c r="I554" s="2" t="n">
        <v>8.7</v>
      </c>
      <c r="J554" s="2" t="s">
        <v>20</v>
      </c>
      <c r="K554" s="2"/>
      <c r="L554" s="3" t="n">
        <f aca="false">B554-WEEKDAY(B554,2)+1</f>
        <v>46293</v>
      </c>
      <c r="M554" s="4" t="n">
        <f aca="false">IFERROR(INDEX(02_Parâmetros!$B$14:$B$17,MATCH(C554,02_Parâmetros!$A$14:$A$17,0)),"")</f>
        <v>2</v>
      </c>
      <c r="N554" s="2" t="str">
        <f aca="false">IF(OR(H554="",M554=""),"",IF(H554&lt;=M554,"Sim","Não"))</f>
        <v>Sim</v>
      </c>
    </row>
    <row r="555" customFormat="false" ht="15" hidden="false" customHeight="false" outlineLevel="0" collapsed="false">
      <c r="A555" s="2" t="s">
        <v>592</v>
      </c>
      <c r="B555" s="3" t="n">
        <v>46293</v>
      </c>
      <c r="C555" s="2" t="s">
        <v>27</v>
      </c>
      <c r="D555" s="2" t="s">
        <v>22</v>
      </c>
      <c r="E555" s="2" t="s">
        <v>23</v>
      </c>
      <c r="F555" s="2" t="s">
        <v>42</v>
      </c>
      <c r="G555" s="2" t="s">
        <v>19</v>
      </c>
      <c r="H555" s="2" t="n">
        <v>8.1</v>
      </c>
      <c r="I555" s="2" t="n">
        <v>6.6</v>
      </c>
      <c r="J555" s="2" t="s">
        <v>20</v>
      </c>
      <c r="K555" s="2" t="n">
        <v>5</v>
      </c>
      <c r="L555" s="3" t="n">
        <f aca="false">B555-WEEKDAY(B555,2)+1</f>
        <v>46293</v>
      </c>
      <c r="M555" s="4" t="n">
        <f aca="false">IFERROR(INDEX(02_Parâmetros!$B$14:$B$17,MATCH(C555,02_Parâmetros!$A$14:$A$17,0)),"")</f>
        <v>10</v>
      </c>
      <c r="N555" s="2" t="str">
        <f aca="false">IF(OR(H555="",M555=""),"",IF(H555&lt;=M555,"Sim","Não"))</f>
        <v>Sim</v>
      </c>
    </row>
    <row r="556" customFormat="false" ht="15" hidden="false" customHeight="false" outlineLevel="0" collapsed="false">
      <c r="A556" s="2" t="s">
        <v>593</v>
      </c>
      <c r="B556" s="3" t="n">
        <v>46293</v>
      </c>
      <c r="C556" s="2" t="s">
        <v>27</v>
      </c>
      <c r="D556" s="2" t="s">
        <v>16</v>
      </c>
      <c r="E556" s="2" t="s">
        <v>31</v>
      </c>
      <c r="F556" s="2" t="s">
        <v>42</v>
      </c>
      <c r="G556" s="2" t="s">
        <v>19</v>
      </c>
      <c r="H556" s="2" t="n">
        <v>4.4</v>
      </c>
      <c r="I556" s="2" t="n">
        <v>6.5</v>
      </c>
      <c r="J556" s="2" t="s">
        <v>20</v>
      </c>
      <c r="K556" s="2"/>
      <c r="L556" s="3" t="n">
        <f aca="false">B556-WEEKDAY(B556,2)+1</f>
        <v>46293</v>
      </c>
      <c r="M556" s="4" t="n">
        <f aca="false">IFERROR(INDEX(02_Parâmetros!$B$14:$B$17,MATCH(C556,02_Parâmetros!$A$14:$A$17,0)),"")</f>
        <v>10</v>
      </c>
      <c r="N556" s="2" t="str">
        <f aca="false">IF(OR(H556="",M556=""),"",IF(H556&lt;=M556,"Sim","Não"))</f>
        <v>Sim</v>
      </c>
    </row>
    <row r="557" customFormat="false" ht="15" hidden="false" customHeight="false" outlineLevel="0" collapsed="false">
      <c r="A557" s="2" t="s">
        <v>594</v>
      </c>
      <c r="B557" s="3" t="n">
        <v>46293</v>
      </c>
      <c r="C557" s="2" t="s">
        <v>27</v>
      </c>
      <c r="D557" s="2" t="s">
        <v>16</v>
      </c>
      <c r="E557" s="2" t="s">
        <v>31</v>
      </c>
      <c r="F557" s="2" t="s">
        <v>42</v>
      </c>
      <c r="G557" s="2" t="s">
        <v>19</v>
      </c>
      <c r="H557" s="2" t="n">
        <v>2.5</v>
      </c>
      <c r="I557" s="2" t="n">
        <v>7.3</v>
      </c>
      <c r="J557" s="2" t="s">
        <v>20</v>
      </c>
      <c r="K557" s="2" t="n">
        <v>5</v>
      </c>
      <c r="L557" s="3" t="n">
        <f aca="false">B557-WEEKDAY(B557,2)+1</f>
        <v>46293</v>
      </c>
      <c r="M557" s="4" t="n">
        <f aca="false">IFERROR(INDEX(02_Parâmetros!$B$14:$B$17,MATCH(C557,02_Parâmetros!$A$14:$A$17,0)),"")</f>
        <v>10</v>
      </c>
      <c r="N557" s="2" t="str">
        <f aca="false">IF(OR(H557="",M557=""),"",IF(H557&lt;=M557,"Sim","Não"))</f>
        <v>Sim</v>
      </c>
    </row>
    <row r="558" customFormat="false" ht="15" hidden="false" customHeight="false" outlineLevel="0" collapsed="false">
      <c r="A558" s="2" t="s">
        <v>595</v>
      </c>
      <c r="B558" s="3" t="n">
        <v>46293</v>
      </c>
      <c r="C558" s="2" t="s">
        <v>41</v>
      </c>
      <c r="D558" s="2" t="s">
        <v>16</v>
      </c>
      <c r="E558" s="2" t="s">
        <v>17</v>
      </c>
      <c r="F558" s="2" t="s">
        <v>18</v>
      </c>
      <c r="G558" s="2" t="s">
        <v>19</v>
      </c>
      <c r="H558" s="2" t="n">
        <v>82</v>
      </c>
      <c r="I558" s="2" t="n">
        <v>14.9</v>
      </c>
      <c r="J558" s="2" t="s">
        <v>25</v>
      </c>
      <c r="K558" s="2" t="n">
        <v>5</v>
      </c>
      <c r="L558" s="3" t="n">
        <f aca="false">B558-WEEKDAY(B558,2)+1</f>
        <v>46293</v>
      </c>
      <c r="M558" s="4" t="n">
        <f aca="false">IFERROR(INDEX(02_Parâmetros!$B$14:$B$17,MATCH(C558,02_Parâmetros!$A$14:$A$17,0)),"")</f>
        <v>240</v>
      </c>
      <c r="N558" s="2" t="str">
        <f aca="false">IF(OR(H558="",M558=""),"",IF(H558&lt;=M558,"Sim","Não"))</f>
        <v>Sim</v>
      </c>
    </row>
    <row r="559" customFormat="false" ht="15" hidden="false" customHeight="false" outlineLevel="0" collapsed="false">
      <c r="A559" s="2" t="s">
        <v>596</v>
      </c>
      <c r="B559" s="3" t="n">
        <v>46293</v>
      </c>
      <c r="C559" s="2" t="s">
        <v>41</v>
      </c>
      <c r="D559" s="2" t="s">
        <v>38</v>
      </c>
      <c r="E559" s="2" t="s">
        <v>39</v>
      </c>
      <c r="F559" s="2" t="s">
        <v>32</v>
      </c>
      <c r="G559" s="2" t="s">
        <v>19</v>
      </c>
      <c r="H559" s="2" t="n">
        <v>84.3</v>
      </c>
      <c r="I559" s="2" t="n">
        <v>7.6</v>
      </c>
      <c r="J559" s="2" t="s">
        <v>20</v>
      </c>
      <c r="K559" s="2"/>
      <c r="L559" s="3" t="n">
        <f aca="false">B559-WEEKDAY(B559,2)+1</f>
        <v>46293</v>
      </c>
      <c r="M559" s="4" t="n">
        <f aca="false">IFERROR(INDEX(02_Parâmetros!$B$14:$B$17,MATCH(C559,02_Parâmetros!$A$14:$A$17,0)),"")</f>
        <v>240</v>
      </c>
      <c r="N559" s="2" t="str">
        <f aca="false">IF(OR(H559="",M559=""),"",IF(H559&lt;=M559,"Sim","Não"))</f>
        <v>Sim</v>
      </c>
    </row>
    <row r="560" customFormat="false" ht="15" hidden="false" customHeight="false" outlineLevel="0" collapsed="false">
      <c r="A560" s="2" t="s">
        <v>597</v>
      </c>
      <c r="B560" s="3" t="n">
        <v>46293</v>
      </c>
      <c r="C560" s="2" t="s">
        <v>44</v>
      </c>
      <c r="D560" s="2" t="s">
        <v>16</v>
      </c>
      <c r="E560" s="2" t="s">
        <v>36</v>
      </c>
      <c r="F560" s="2" t="s">
        <v>34</v>
      </c>
      <c r="G560" s="2" t="s">
        <v>19</v>
      </c>
      <c r="H560" s="2" t="n">
        <v>0.8</v>
      </c>
      <c r="I560" s="2" t="n">
        <v>4.9</v>
      </c>
      <c r="J560" s="2" t="s">
        <v>20</v>
      </c>
      <c r="K560" s="2"/>
      <c r="L560" s="3" t="n">
        <f aca="false">B560-WEEKDAY(B560,2)+1</f>
        <v>46293</v>
      </c>
      <c r="M560" s="4" t="n">
        <f aca="false">IFERROR(INDEX(02_Parâmetros!$B$14:$B$17,MATCH(C560,02_Parâmetros!$A$14:$A$17,0)),"")</f>
        <v>2</v>
      </c>
      <c r="N560" s="2" t="str">
        <f aca="false">IF(OR(H560="",M560=""),"",IF(H560&lt;=M560,"Sim","Não"))</f>
        <v>Sim</v>
      </c>
    </row>
    <row r="561" customFormat="false" ht="15" hidden="false" customHeight="false" outlineLevel="0" collapsed="false">
      <c r="A561" s="2" t="s">
        <v>598</v>
      </c>
      <c r="B561" s="3" t="n">
        <v>46293</v>
      </c>
      <c r="C561" s="2" t="s">
        <v>41</v>
      </c>
      <c r="D561" s="2" t="s">
        <v>16</v>
      </c>
      <c r="E561" s="2" t="s">
        <v>36</v>
      </c>
      <c r="F561" s="2" t="s">
        <v>24</v>
      </c>
      <c r="G561" s="2" t="s">
        <v>19</v>
      </c>
      <c r="H561" s="2" t="n">
        <v>170.1</v>
      </c>
      <c r="I561" s="2" t="n">
        <v>13.9</v>
      </c>
      <c r="J561" s="2" t="s">
        <v>25</v>
      </c>
      <c r="K561" s="2" t="n">
        <v>5</v>
      </c>
      <c r="L561" s="3" t="n">
        <f aca="false">B561-WEEKDAY(B561,2)+1</f>
        <v>46293</v>
      </c>
      <c r="M561" s="4" t="n">
        <f aca="false">IFERROR(INDEX(02_Parâmetros!$B$14:$B$17,MATCH(C561,02_Parâmetros!$A$14:$A$17,0)),"")</f>
        <v>240</v>
      </c>
      <c r="N561" s="2" t="str">
        <f aca="false">IF(OR(H561="",M561=""),"",IF(H561&lt;=M561,"Sim","Não"))</f>
        <v>Sim</v>
      </c>
    </row>
    <row r="562" customFormat="false" ht="15" hidden="false" customHeight="false" outlineLevel="0" collapsed="false">
      <c r="A562" s="2" t="s">
        <v>599</v>
      </c>
      <c r="B562" s="3" t="n">
        <v>46293</v>
      </c>
      <c r="C562" s="2" t="s">
        <v>44</v>
      </c>
      <c r="D562" s="2" t="s">
        <v>22</v>
      </c>
      <c r="E562" s="2" t="s">
        <v>23</v>
      </c>
      <c r="F562" s="2" t="s">
        <v>24</v>
      </c>
      <c r="G562" s="2" t="s">
        <v>19</v>
      </c>
      <c r="H562" s="2" t="n">
        <v>2.6</v>
      </c>
      <c r="I562" s="2" t="n">
        <v>10.2</v>
      </c>
      <c r="J562" s="2" t="s">
        <v>25</v>
      </c>
      <c r="K562" s="2" t="n">
        <v>4</v>
      </c>
      <c r="L562" s="3" t="n">
        <f aca="false">B562-WEEKDAY(B562,2)+1</f>
        <v>46293</v>
      </c>
      <c r="M562" s="4" t="n">
        <f aca="false">IFERROR(INDEX(02_Parâmetros!$B$14:$B$17,MATCH(C562,02_Parâmetros!$A$14:$A$17,0)),"")</f>
        <v>2</v>
      </c>
      <c r="N562" s="2" t="str">
        <f aca="false">IF(OR(H562="",M562=""),"",IF(H562&lt;=M562,"Sim","Não"))</f>
        <v>Não</v>
      </c>
    </row>
    <row r="563" customFormat="false" ht="15" hidden="false" customHeight="false" outlineLevel="0" collapsed="false">
      <c r="A563" s="2" t="s">
        <v>600</v>
      </c>
      <c r="B563" s="3" t="n">
        <v>46293</v>
      </c>
      <c r="C563" s="2" t="s">
        <v>41</v>
      </c>
      <c r="D563" s="2" t="s">
        <v>38</v>
      </c>
      <c r="E563" s="2" t="s">
        <v>47</v>
      </c>
      <c r="F563" s="2" t="s">
        <v>18</v>
      </c>
      <c r="G563" s="2" t="s">
        <v>19</v>
      </c>
      <c r="H563" s="2" t="n">
        <v>81.7</v>
      </c>
      <c r="I563" s="2" t="n">
        <v>10</v>
      </c>
      <c r="J563" s="2" t="s">
        <v>20</v>
      </c>
      <c r="K563" s="2"/>
      <c r="L563" s="3" t="n">
        <f aca="false">B563-WEEKDAY(B563,2)+1</f>
        <v>46293</v>
      </c>
      <c r="M563" s="4" t="n">
        <f aca="false">IFERROR(INDEX(02_Parâmetros!$B$14:$B$17,MATCH(C563,02_Parâmetros!$A$14:$A$17,0)),"")</f>
        <v>240</v>
      </c>
      <c r="N563" s="2" t="str">
        <f aca="false">IF(OR(H563="",M563=""),"",IF(H563&lt;=M563,"Sim","Não"))</f>
        <v>Sim</v>
      </c>
    </row>
    <row r="564" customFormat="false" ht="15" hidden="false" customHeight="false" outlineLevel="0" collapsed="false">
      <c r="A564" s="2" t="s">
        <v>601</v>
      </c>
      <c r="B564" s="3" t="n">
        <v>46293</v>
      </c>
      <c r="C564" s="2" t="s">
        <v>15</v>
      </c>
      <c r="D564" s="2" t="s">
        <v>16</v>
      </c>
      <c r="E564" s="2" t="s">
        <v>17</v>
      </c>
      <c r="F564" s="2" t="s">
        <v>18</v>
      </c>
      <c r="G564" s="2" t="s">
        <v>19</v>
      </c>
      <c r="H564" s="2" t="n">
        <v>0.7</v>
      </c>
      <c r="I564" s="2" t="n">
        <v>13.6</v>
      </c>
      <c r="J564" s="2" t="s">
        <v>20</v>
      </c>
      <c r="K564" s="2"/>
      <c r="L564" s="3" t="n">
        <f aca="false">B564-WEEKDAY(B564,2)+1</f>
        <v>46293</v>
      </c>
      <c r="M564" s="4" t="n">
        <f aca="false">IFERROR(INDEX(02_Parâmetros!$B$14:$B$17,MATCH(C564,02_Parâmetros!$A$14:$A$17,0)),"")</f>
        <v>1</v>
      </c>
      <c r="N564" s="2" t="str">
        <f aca="false">IF(OR(H564="",M564=""),"",IF(H564&lt;=M564,"Sim","Não"))</f>
        <v>Sim</v>
      </c>
    </row>
    <row r="565" customFormat="false" ht="15" hidden="false" customHeight="false" outlineLevel="0" collapsed="false">
      <c r="A565" s="2" t="s">
        <v>602</v>
      </c>
      <c r="B565" s="3" t="n">
        <v>46293</v>
      </c>
      <c r="C565" s="2" t="s">
        <v>27</v>
      </c>
      <c r="D565" s="2" t="s">
        <v>22</v>
      </c>
      <c r="E565" s="2" t="s">
        <v>23</v>
      </c>
      <c r="F565" s="2" t="s">
        <v>42</v>
      </c>
      <c r="G565" s="2" t="s">
        <v>19</v>
      </c>
      <c r="H565" s="2" t="n">
        <v>5.1</v>
      </c>
      <c r="I565" s="2" t="n">
        <v>7.8</v>
      </c>
      <c r="J565" s="2" t="s">
        <v>20</v>
      </c>
      <c r="K565" s="2"/>
      <c r="L565" s="3" t="n">
        <f aca="false">B565-WEEKDAY(B565,2)+1</f>
        <v>46293</v>
      </c>
      <c r="M565" s="4" t="n">
        <f aca="false">IFERROR(INDEX(02_Parâmetros!$B$14:$B$17,MATCH(C565,02_Parâmetros!$A$14:$A$17,0)),"")</f>
        <v>10</v>
      </c>
      <c r="N565" s="2" t="str">
        <f aca="false">IF(OR(H565="",M565=""),"",IF(H565&lt;=M565,"Sim","Não"))</f>
        <v>Sim</v>
      </c>
    </row>
    <row r="566" customFormat="false" ht="15" hidden="false" customHeight="false" outlineLevel="0" collapsed="false">
      <c r="A566" s="2" t="s">
        <v>603</v>
      </c>
      <c r="B566" s="3" t="n">
        <v>46293</v>
      </c>
      <c r="C566" s="2" t="s">
        <v>27</v>
      </c>
      <c r="D566" s="2" t="s">
        <v>38</v>
      </c>
      <c r="E566" s="2" t="s">
        <v>39</v>
      </c>
      <c r="F566" s="2" t="s">
        <v>70</v>
      </c>
      <c r="G566" s="2" t="s">
        <v>19</v>
      </c>
      <c r="H566" s="2" t="n">
        <v>2.7</v>
      </c>
      <c r="I566" s="2" t="n">
        <v>8.7</v>
      </c>
      <c r="J566" s="2" t="s">
        <v>20</v>
      </c>
      <c r="K566" s="2"/>
      <c r="L566" s="3" t="n">
        <f aca="false">B566-WEEKDAY(B566,2)+1</f>
        <v>46293</v>
      </c>
      <c r="M566" s="4" t="n">
        <f aca="false">IFERROR(INDEX(02_Parâmetros!$B$14:$B$17,MATCH(C566,02_Parâmetros!$A$14:$A$17,0)),"")</f>
        <v>10</v>
      </c>
      <c r="N566" s="2" t="str">
        <f aca="false">IF(OR(H566="",M566=""),"",IF(H566&lt;=M566,"Sim","Não"))</f>
        <v>Sim</v>
      </c>
    </row>
    <row r="567" customFormat="false" ht="15" hidden="false" customHeight="false" outlineLevel="0" collapsed="false">
      <c r="A567" s="2" t="s">
        <v>604</v>
      </c>
      <c r="B567" s="3" t="n">
        <v>46294</v>
      </c>
      <c r="C567" s="2" t="s">
        <v>15</v>
      </c>
      <c r="D567" s="2" t="s">
        <v>16</v>
      </c>
      <c r="E567" s="2" t="s">
        <v>31</v>
      </c>
      <c r="F567" s="2" t="s">
        <v>32</v>
      </c>
      <c r="G567" s="2" t="s">
        <v>19</v>
      </c>
      <c r="H567" s="2"/>
      <c r="I567" s="2" t="n">
        <v>8.9</v>
      </c>
      <c r="J567" s="2" t="s">
        <v>20</v>
      </c>
      <c r="K567" s="2" t="n">
        <v>4</v>
      </c>
      <c r="L567" s="3" t="n">
        <f aca="false">B567-WEEKDAY(B567,2)+1</f>
        <v>46293</v>
      </c>
      <c r="M567" s="4" t="n">
        <f aca="false">IFERROR(INDEX(02_Parâmetros!$B$14:$B$17,MATCH(C567,02_Parâmetros!$A$14:$A$17,0)),"")</f>
        <v>1</v>
      </c>
      <c r="N567" s="2" t="str">
        <f aca="false">IF(OR(H567="",M567=""),"",IF(H567&lt;=M567,"Sim","Não"))</f>
        <v/>
      </c>
    </row>
    <row r="568" customFormat="false" ht="15" hidden="false" customHeight="false" outlineLevel="0" collapsed="false">
      <c r="A568" s="2" t="s">
        <v>605</v>
      </c>
      <c r="B568" s="3" t="n">
        <v>46294</v>
      </c>
      <c r="C568" s="2" t="s">
        <v>44</v>
      </c>
      <c r="D568" s="2" t="s">
        <v>38</v>
      </c>
      <c r="E568" s="2" t="s">
        <v>47</v>
      </c>
      <c r="F568" s="2" t="s">
        <v>42</v>
      </c>
      <c r="G568" s="2" t="s">
        <v>19</v>
      </c>
      <c r="H568" s="2" t="n">
        <v>0.5</v>
      </c>
      <c r="I568" s="2" t="n">
        <v>10.6</v>
      </c>
      <c r="J568" s="2" t="s">
        <v>20</v>
      </c>
      <c r="K568" s="2" t="n">
        <v>1</v>
      </c>
      <c r="L568" s="3" t="n">
        <f aca="false">B568-WEEKDAY(B568,2)+1</f>
        <v>46293</v>
      </c>
      <c r="M568" s="4" t="n">
        <f aca="false">IFERROR(INDEX(02_Parâmetros!$B$14:$B$17,MATCH(C568,02_Parâmetros!$A$14:$A$17,0)),"")</f>
        <v>2</v>
      </c>
      <c r="N568" s="2" t="str">
        <f aca="false">IF(OR(H568="",M568=""),"",IF(H568&lt;=M568,"Sim","Não"))</f>
        <v>Sim</v>
      </c>
    </row>
    <row r="569" customFormat="false" ht="15" hidden="false" customHeight="false" outlineLevel="0" collapsed="false">
      <c r="A569" s="2" t="s">
        <v>606</v>
      </c>
      <c r="B569" s="3" t="n">
        <v>46294</v>
      </c>
      <c r="C569" s="2" t="s">
        <v>44</v>
      </c>
      <c r="D569" s="2" t="s">
        <v>22</v>
      </c>
      <c r="E569" s="2" t="s">
        <v>28</v>
      </c>
      <c r="F569" s="2" t="s">
        <v>70</v>
      </c>
      <c r="G569" s="2" t="s">
        <v>19</v>
      </c>
      <c r="H569" s="2" t="n">
        <v>0.7</v>
      </c>
      <c r="I569" s="2" t="n">
        <v>6</v>
      </c>
      <c r="J569" s="2" t="s">
        <v>25</v>
      </c>
      <c r="K569" s="2" t="n">
        <v>4</v>
      </c>
      <c r="L569" s="3" t="n">
        <f aca="false">B569-WEEKDAY(B569,2)+1</f>
        <v>46293</v>
      </c>
      <c r="M569" s="4" t="n">
        <f aca="false">IFERROR(INDEX(02_Parâmetros!$B$14:$B$17,MATCH(C569,02_Parâmetros!$A$14:$A$17,0)),"")</f>
        <v>2</v>
      </c>
      <c r="N569" s="2" t="str">
        <f aca="false">IF(OR(H569="",M569=""),"",IF(H569&lt;=M569,"Sim","Não"))</f>
        <v>Sim</v>
      </c>
    </row>
    <row r="570" customFormat="false" ht="15" hidden="false" customHeight="false" outlineLevel="0" collapsed="false">
      <c r="A570" s="2" t="s">
        <v>607</v>
      </c>
      <c r="B570" s="3" t="n">
        <v>46294</v>
      </c>
      <c r="C570" s="2" t="s">
        <v>15</v>
      </c>
      <c r="D570" s="2" t="s">
        <v>22</v>
      </c>
      <c r="E570" s="2" t="s">
        <v>28</v>
      </c>
      <c r="F570" s="2" t="s">
        <v>18</v>
      </c>
      <c r="G570" s="2" t="s">
        <v>19</v>
      </c>
      <c r="H570" s="2" t="n">
        <v>0.8</v>
      </c>
      <c r="I570" s="2" t="n">
        <v>11.1</v>
      </c>
      <c r="J570" s="2" t="s">
        <v>20</v>
      </c>
      <c r="K570" s="2"/>
      <c r="L570" s="3" t="n">
        <f aca="false">B570-WEEKDAY(B570,2)+1</f>
        <v>46293</v>
      </c>
      <c r="M570" s="4" t="n">
        <f aca="false">IFERROR(INDEX(02_Parâmetros!$B$14:$B$17,MATCH(C570,02_Parâmetros!$A$14:$A$17,0)),"")</f>
        <v>1</v>
      </c>
      <c r="N570" s="2" t="str">
        <f aca="false">IF(OR(H570="",M570=""),"",IF(H570&lt;=M570,"Sim","Não"))</f>
        <v>Sim</v>
      </c>
    </row>
    <row r="571" customFormat="false" ht="15" hidden="false" customHeight="false" outlineLevel="0" collapsed="false">
      <c r="A571" s="2" t="s">
        <v>608</v>
      </c>
      <c r="B571" s="3" t="n">
        <v>46294</v>
      </c>
      <c r="C571" s="2" t="s">
        <v>41</v>
      </c>
      <c r="D571" s="2" t="s">
        <v>16</v>
      </c>
      <c r="E571" s="2" t="s">
        <v>31</v>
      </c>
      <c r="F571" s="2" t="s">
        <v>32</v>
      </c>
      <c r="G571" s="2" t="s">
        <v>19</v>
      </c>
      <c r="H571" s="2" t="n">
        <v>209.9</v>
      </c>
      <c r="I571" s="2" t="n">
        <v>11.2</v>
      </c>
      <c r="J571" s="2" t="s">
        <v>25</v>
      </c>
      <c r="K571" s="2"/>
      <c r="L571" s="3" t="n">
        <f aca="false">B571-WEEKDAY(B571,2)+1</f>
        <v>46293</v>
      </c>
      <c r="M571" s="4" t="n">
        <f aca="false">IFERROR(INDEX(02_Parâmetros!$B$14:$B$17,MATCH(C571,02_Parâmetros!$A$14:$A$17,0)),"")</f>
        <v>240</v>
      </c>
      <c r="N571" s="2" t="str">
        <f aca="false">IF(OR(H571="",M571=""),"",IF(H571&lt;=M571,"Sim","Não"))</f>
        <v>Sim</v>
      </c>
    </row>
    <row r="572" customFormat="false" ht="15" hidden="false" customHeight="false" outlineLevel="0" collapsed="false">
      <c r="A572" s="2" t="s">
        <v>609</v>
      </c>
      <c r="B572" s="3" t="n">
        <v>46294</v>
      </c>
      <c r="C572" s="2" t="s">
        <v>41</v>
      </c>
      <c r="D572" s="2" t="s">
        <v>22</v>
      </c>
      <c r="E572" s="2" t="s">
        <v>28</v>
      </c>
      <c r="F572" s="2" t="s">
        <v>32</v>
      </c>
      <c r="G572" s="2" t="s">
        <v>19</v>
      </c>
      <c r="H572" s="2" t="n">
        <v>115.2</v>
      </c>
      <c r="I572" s="2" t="n">
        <v>9.4</v>
      </c>
      <c r="J572" s="2" t="s">
        <v>20</v>
      </c>
      <c r="K572" s="2" t="n">
        <v>5</v>
      </c>
      <c r="L572" s="3" t="n">
        <f aca="false">B572-WEEKDAY(B572,2)+1</f>
        <v>46293</v>
      </c>
      <c r="M572" s="4" t="n">
        <f aca="false">IFERROR(INDEX(02_Parâmetros!$B$14:$B$17,MATCH(C572,02_Parâmetros!$A$14:$A$17,0)),"")</f>
        <v>240</v>
      </c>
      <c r="N572" s="2" t="str">
        <f aca="false">IF(OR(H572="",M572=""),"",IF(H572&lt;=M572,"Sim","Não"))</f>
        <v>Sim</v>
      </c>
    </row>
    <row r="573" customFormat="false" ht="15" hidden="false" customHeight="false" outlineLevel="0" collapsed="false">
      <c r="A573" s="2" t="s">
        <v>610</v>
      </c>
      <c r="B573" s="3" t="n">
        <v>46294</v>
      </c>
      <c r="C573" s="2" t="s">
        <v>15</v>
      </c>
      <c r="D573" s="2" t="s">
        <v>38</v>
      </c>
      <c r="E573" s="2" t="s">
        <v>47</v>
      </c>
      <c r="F573" s="2" t="s">
        <v>70</v>
      </c>
      <c r="G573" s="2" t="s">
        <v>19</v>
      </c>
      <c r="H573" s="2" t="n">
        <v>0.9</v>
      </c>
      <c r="I573" s="2" t="n">
        <v>11.2</v>
      </c>
      <c r="J573" s="2" t="s">
        <v>20</v>
      </c>
      <c r="K573" s="2"/>
      <c r="L573" s="3" t="n">
        <f aca="false">B573-WEEKDAY(B573,2)+1</f>
        <v>46293</v>
      </c>
      <c r="M573" s="4" t="n">
        <f aca="false">IFERROR(INDEX(02_Parâmetros!$B$14:$B$17,MATCH(C573,02_Parâmetros!$A$14:$A$17,0)),"")</f>
        <v>1</v>
      </c>
      <c r="N573" s="2" t="str">
        <f aca="false">IF(OR(H573="",M573=""),"",IF(H573&lt;=M573,"Sim","Não"))</f>
        <v>Sim</v>
      </c>
    </row>
    <row r="574" customFormat="false" ht="15" hidden="false" customHeight="false" outlineLevel="0" collapsed="false">
      <c r="A574" s="2" t="s">
        <v>611</v>
      </c>
      <c r="B574" s="3" t="n">
        <v>46294</v>
      </c>
      <c r="C574" s="2" t="s">
        <v>15</v>
      </c>
      <c r="D574" s="2" t="s">
        <v>16</v>
      </c>
      <c r="E574" s="2" t="s">
        <v>17</v>
      </c>
      <c r="F574" s="2" t="s">
        <v>18</v>
      </c>
      <c r="G574" s="2" t="s">
        <v>19</v>
      </c>
      <c r="H574" s="2" t="n">
        <v>0.7</v>
      </c>
      <c r="I574" s="2" t="n">
        <v>8.5</v>
      </c>
      <c r="J574" s="2" t="s">
        <v>20</v>
      </c>
      <c r="K574" s="2" t="n">
        <v>5</v>
      </c>
      <c r="L574" s="3" t="n">
        <f aca="false">B574-WEEKDAY(B574,2)+1</f>
        <v>46293</v>
      </c>
      <c r="M574" s="4" t="n">
        <f aca="false">IFERROR(INDEX(02_Parâmetros!$B$14:$B$17,MATCH(C574,02_Parâmetros!$A$14:$A$17,0)),"")</f>
        <v>1</v>
      </c>
      <c r="N574" s="2" t="str">
        <f aca="false">IF(OR(H574="",M574=""),"",IF(H574&lt;=M574,"Sim","Não"))</f>
        <v>Sim</v>
      </c>
    </row>
    <row r="575" customFormat="false" ht="15" hidden="false" customHeight="false" outlineLevel="0" collapsed="false">
      <c r="A575" s="2" t="s">
        <v>612</v>
      </c>
      <c r="B575" s="3" t="n">
        <v>46294</v>
      </c>
      <c r="C575" s="2" t="s">
        <v>41</v>
      </c>
      <c r="D575" s="2" t="s">
        <v>22</v>
      </c>
      <c r="E575" s="2" t="s">
        <v>23</v>
      </c>
      <c r="F575" s="2" t="s">
        <v>32</v>
      </c>
      <c r="G575" s="2" t="s">
        <v>19</v>
      </c>
      <c r="H575" s="2" t="n">
        <v>126.1</v>
      </c>
      <c r="I575" s="2" t="n">
        <v>12.1</v>
      </c>
      <c r="J575" s="2" t="s">
        <v>20</v>
      </c>
      <c r="K575" s="2"/>
      <c r="L575" s="3" t="n">
        <f aca="false">B575-WEEKDAY(B575,2)+1</f>
        <v>46293</v>
      </c>
      <c r="M575" s="4" t="n">
        <f aca="false">IFERROR(INDEX(02_Parâmetros!$B$14:$B$17,MATCH(C575,02_Parâmetros!$A$14:$A$17,0)),"")</f>
        <v>240</v>
      </c>
      <c r="N575" s="2" t="str">
        <f aca="false">IF(OR(H575="",M575=""),"",IF(H575&lt;=M575,"Sim","Não"))</f>
        <v>Sim</v>
      </c>
    </row>
    <row r="576" customFormat="false" ht="15" hidden="false" customHeight="false" outlineLevel="0" collapsed="false">
      <c r="A576" s="2" t="s">
        <v>613</v>
      </c>
      <c r="B576" s="3" t="n">
        <v>46294</v>
      </c>
      <c r="C576" s="2" t="s">
        <v>44</v>
      </c>
      <c r="D576" s="2" t="s">
        <v>38</v>
      </c>
      <c r="E576" s="2" t="s">
        <v>39</v>
      </c>
      <c r="F576" s="2" t="s">
        <v>32</v>
      </c>
      <c r="G576" s="2" t="s">
        <v>19</v>
      </c>
      <c r="H576" s="2" t="n">
        <v>1.2</v>
      </c>
      <c r="I576" s="2" t="n">
        <v>5.5</v>
      </c>
      <c r="J576" s="2" t="s">
        <v>20</v>
      </c>
      <c r="K576" s="2"/>
      <c r="L576" s="3" t="n">
        <f aca="false">B576-WEEKDAY(B576,2)+1</f>
        <v>46293</v>
      </c>
      <c r="M576" s="4" t="n">
        <f aca="false">IFERROR(INDEX(02_Parâmetros!$B$14:$B$17,MATCH(C576,02_Parâmetros!$A$14:$A$17,0)),"")</f>
        <v>2</v>
      </c>
      <c r="N576" s="2" t="str">
        <f aca="false">IF(OR(H576="",M576=""),"",IF(H576&lt;=M576,"Sim","Não"))</f>
        <v>Sim</v>
      </c>
    </row>
    <row r="577" customFormat="false" ht="15" hidden="false" customHeight="false" outlineLevel="0" collapsed="false">
      <c r="A577" s="2" t="s">
        <v>614</v>
      </c>
      <c r="B577" s="3" t="n">
        <v>46294</v>
      </c>
      <c r="C577" s="2" t="s">
        <v>15</v>
      </c>
      <c r="D577" s="2" t="s">
        <v>38</v>
      </c>
      <c r="E577" s="2" t="s">
        <v>47</v>
      </c>
      <c r="F577" s="2" t="s">
        <v>24</v>
      </c>
      <c r="G577" s="2" t="s">
        <v>19</v>
      </c>
      <c r="H577" s="2" t="n">
        <v>1.5</v>
      </c>
      <c r="I577" s="2" t="n">
        <v>10.5</v>
      </c>
      <c r="J577" s="2" t="s">
        <v>20</v>
      </c>
      <c r="K577" s="2"/>
      <c r="L577" s="3" t="n">
        <f aca="false">B577-WEEKDAY(B577,2)+1</f>
        <v>46293</v>
      </c>
      <c r="M577" s="4" t="n">
        <f aca="false">IFERROR(INDEX(02_Parâmetros!$B$14:$B$17,MATCH(C577,02_Parâmetros!$A$14:$A$17,0)),"")</f>
        <v>1</v>
      </c>
      <c r="N577" s="2" t="str">
        <f aca="false">IF(OR(H577="",M577=""),"",IF(H577&lt;=M577,"Sim","Não"))</f>
        <v>Não</v>
      </c>
    </row>
    <row r="578" customFormat="false" ht="15" hidden="false" customHeight="false" outlineLevel="0" collapsed="false">
      <c r="A578" s="2" t="s">
        <v>615</v>
      </c>
      <c r="B578" s="3" t="n">
        <v>46294</v>
      </c>
      <c r="C578" s="2" t="s">
        <v>41</v>
      </c>
      <c r="D578" s="2" t="s">
        <v>16</v>
      </c>
      <c r="E578" s="2" t="s">
        <v>36</v>
      </c>
      <c r="F578" s="2" t="s">
        <v>18</v>
      </c>
      <c r="G578" s="2" t="s">
        <v>19</v>
      </c>
      <c r="H578" s="2" t="n">
        <v>88.5</v>
      </c>
      <c r="I578" s="2" t="n">
        <v>10.9</v>
      </c>
      <c r="J578" s="2" t="s">
        <v>25</v>
      </c>
      <c r="K578" s="2"/>
      <c r="L578" s="3" t="n">
        <f aca="false">B578-WEEKDAY(B578,2)+1</f>
        <v>46293</v>
      </c>
      <c r="M578" s="4" t="n">
        <f aca="false">IFERROR(INDEX(02_Parâmetros!$B$14:$B$17,MATCH(C578,02_Parâmetros!$A$14:$A$17,0)),"")</f>
        <v>240</v>
      </c>
      <c r="N578" s="2" t="str">
        <f aca="false">IF(OR(H578="",M578=""),"",IF(H578&lt;=M578,"Sim","Não"))</f>
        <v>Sim</v>
      </c>
    </row>
    <row r="579" customFormat="false" ht="15" hidden="false" customHeight="false" outlineLevel="0" collapsed="false">
      <c r="A579" s="2" t="s">
        <v>616</v>
      </c>
      <c r="B579" s="3" t="n">
        <v>46294</v>
      </c>
      <c r="C579" s="2" t="s">
        <v>44</v>
      </c>
      <c r="D579" s="2" t="s">
        <v>22</v>
      </c>
      <c r="E579" s="2" t="s">
        <v>28</v>
      </c>
      <c r="F579" s="2" t="s">
        <v>42</v>
      </c>
      <c r="G579" s="2" t="s">
        <v>19</v>
      </c>
      <c r="H579" s="2" t="n">
        <v>0.8</v>
      </c>
      <c r="I579" s="2" t="n">
        <v>6.5</v>
      </c>
      <c r="J579" s="2" t="s">
        <v>20</v>
      </c>
      <c r="K579" s="2"/>
      <c r="L579" s="3" t="n">
        <f aca="false">B579-WEEKDAY(B579,2)+1</f>
        <v>46293</v>
      </c>
      <c r="M579" s="4" t="n">
        <f aca="false">IFERROR(INDEX(02_Parâmetros!$B$14:$B$17,MATCH(C579,02_Parâmetros!$A$14:$A$17,0)),"")</f>
        <v>2</v>
      </c>
      <c r="N579" s="2" t="str">
        <f aca="false">IF(OR(H579="",M579=""),"",IF(H579&lt;=M579,"Sim","Não"))</f>
        <v>Sim</v>
      </c>
    </row>
    <row r="580" customFormat="false" ht="15" hidden="false" customHeight="false" outlineLevel="0" collapsed="false">
      <c r="A580" s="2" t="s">
        <v>617</v>
      </c>
      <c r="B580" s="3" t="n">
        <v>46294</v>
      </c>
      <c r="C580" s="2" t="s">
        <v>41</v>
      </c>
      <c r="D580" s="2" t="s">
        <v>38</v>
      </c>
      <c r="E580" s="2" t="s">
        <v>39</v>
      </c>
      <c r="F580" s="2" t="s">
        <v>32</v>
      </c>
      <c r="G580" s="2" t="s">
        <v>19</v>
      </c>
      <c r="H580" s="2" t="n">
        <v>122.2</v>
      </c>
      <c r="I580" s="2" t="n">
        <v>6.1</v>
      </c>
      <c r="J580" s="2" t="s">
        <v>25</v>
      </c>
      <c r="K580" s="2"/>
      <c r="L580" s="3" t="n">
        <f aca="false">B580-WEEKDAY(B580,2)+1</f>
        <v>46293</v>
      </c>
      <c r="M580" s="4" t="n">
        <f aca="false">IFERROR(INDEX(02_Parâmetros!$B$14:$B$17,MATCH(C580,02_Parâmetros!$A$14:$A$17,0)),"")</f>
        <v>240</v>
      </c>
      <c r="N580" s="2" t="str">
        <f aca="false">IF(OR(H580="",M580=""),"",IF(H580&lt;=M580,"Sim","Não"))</f>
        <v>Sim</v>
      </c>
    </row>
    <row r="581" customFormat="false" ht="15" hidden="false" customHeight="false" outlineLevel="0" collapsed="false">
      <c r="A581" s="2" t="s">
        <v>618</v>
      </c>
      <c r="B581" s="3" t="n">
        <v>46294</v>
      </c>
      <c r="C581" s="2" t="s">
        <v>27</v>
      </c>
      <c r="D581" s="2" t="s">
        <v>22</v>
      </c>
      <c r="E581" s="2" t="s">
        <v>28</v>
      </c>
      <c r="F581" s="2" t="s">
        <v>32</v>
      </c>
      <c r="G581" s="2" t="s">
        <v>19</v>
      </c>
      <c r="H581" s="2" t="n">
        <v>3.8</v>
      </c>
      <c r="I581" s="2" t="n">
        <v>7.1</v>
      </c>
      <c r="J581" s="2" t="s">
        <v>20</v>
      </c>
      <c r="K581" s="2" t="n">
        <v>4</v>
      </c>
      <c r="L581" s="3" t="n">
        <f aca="false">B581-WEEKDAY(B581,2)+1</f>
        <v>46293</v>
      </c>
      <c r="M581" s="4" t="n">
        <f aca="false">IFERROR(INDEX(02_Parâmetros!$B$14:$B$17,MATCH(C581,02_Parâmetros!$A$14:$A$17,0)),"")</f>
        <v>10</v>
      </c>
      <c r="N581" s="2" t="str">
        <f aca="false">IF(OR(H581="",M581=""),"",IF(H581&lt;=M581,"Sim","Não"))</f>
        <v>Sim</v>
      </c>
    </row>
    <row r="582" customFormat="false" ht="15" hidden="false" customHeight="false" outlineLevel="0" collapsed="false">
      <c r="A582" s="2" t="s">
        <v>619</v>
      </c>
      <c r="B582" s="3" t="n">
        <v>46294</v>
      </c>
      <c r="C582" s="2" t="s">
        <v>27</v>
      </c>
      <c r="D582" s="2" t="s">
        <v>38</v>
      </c>
      <c r="E582" s="2" t="s">
        <v>47</v>
      </c>
      <c r="F582" s="2" t="s">
        <v>24</v>
      </c>
      <c r="G582" s="2" t="s">
        <v>19</v>
      </c>
      <c r="H582" s="2" t="n">
        <v>4</v>
      </c>
      <c r="I582" s="2" t="n">
        <v>6.1</v>
      </c>
      <c r="J582" s="2" t="s">
        <v>25</v>
      </c>
      <c r="K582" s="2"/>
      <c r="L582" s="3" t="n">
        <f aca="false">B582-WEEKDAY(B582,2)+1</f>
        <v>46293</v>
      </c>
      <c r="M582" s="4" t="n">
        <f aca="false">IFERROR(INDEX(02_Parâmetros!$B$14:$B$17,MATCH(C582,02_Parâmetros!$A$14:$A$17,0)),"")</f>
        <v>10</v>
      </c>
      <c r="N582" s="2" t="str">
        <f aca="false">IF(OR(H582="",M582=""),"",IF(H582&lt;=M582,"Sim","Não"))</f>
        <v>Sim</v>
      </c>
    </row>
    <row r="583" customFormat="false" ht="15" hidden="false" customHeight="false" outlineLevel="0" collapsed="false">
      <c r="A583" s="2" t="s">
        <v>620</v>
      </c>
      <c r="B583" s="3" t="n">
        <v>46294</v>
      </c>
      <c r="C583" s="2" t="s">
        <v>15</v>
      </c>
      <c r="D583" s="2" t="s">
        <v>16</v>
      </c>
      <c r="E583" s="2" t="s">
        <v>31</v>
      </c>
      <c r="F583" s="2" t="s">
        <v>34</v>
      </c>
      <c r="G583" s="2" t="s">
        <v>19</v>
      </c>
      <c r="H583" s="2" t="n">
        <v>1.1</v>
      </c>
      <c r="I583" s="2" t="n">
        <v>10.8</v>
      </c>
      <c r="J583" s="2" t="s">
        <v>20</v>
      </c>
      <c r="K583" s="2" t="n">
        <v>5</v>
      </c>
      <c r="L583" s="3" t="n">
        <f aca="false">B583-WEEKDAY(B583,2)+1</f>
        <v>46293</v>
      </c>
      <c r="M583" s="4" t="n">
        <f aca="false">IFERROR(INDEX(02_Parâmetros!$B$14:$B$17,MATCH(C583,02_Parâmetros!$A$14:$A$17,0)),"")</f>
        <v>1</v>
      </c>
      <c r="N583" s="2" t="str">
        <f aca="false">IF(OR(H583="",M583=""),"",IF(H583&lt;=M583,"Sim","Não"))</f>
        <v>Não</v>
      </c>
    </row>
    <row r="584" customFormat="false" ht="15" hidden="false" customHeight="false" outlineLevel="0" collapsed="false">
      <c r="A584" s="2" t="s">
        <v>621</v>
      </c>
      <c r="B584" s="3" t="n">
        <v>46294</v>
      </c>
      <c r="C584" s="2" t="s">
        <v>27</v>
      </c>
      <c r="D584" s="2" t="s">
        <v>16</v>
      </c>
      <c r="E584" s="2" t="s">
        <v>17</v>
      </c>
      <c r="F584" s="2" t="s">
        <v>18</v>
      </c>
      <c r="G584" s="2" t="s">
        <v>19</v>
      </c>
      <c r="H584" s="2" t="n">
        <v>5.9</v>
      </c>
      <c r="I584" s="2" t="n">
        <v>8.1</v>
      </c>
      <c r="J584" s="2" t="s">
        <v>20</v>
      </c>
      <c r="K584" s="2"/>
      <c r="L584" s="3" t="n">
        <f aca="false">B584-WEEKDAY(B584,2)+1</f>
        <v>46293</v>
      </c>
      <c r="M584" s="4" t="n">
        <f aca="false">IFERROR(INDEX(02_Parâmetros!$B$14:$B$17,MATCH(C584,02_Parâmetros!$A$14:$A$17,0)),"")</f>
        <v>10</v>
      </c>
      <c r="N584" s="2" t="str">
        <f aca="false">IF(OR(H584="",M584=""),"",IF(H584&lt;=M584,"Sim","Não"))</f>
        <v>Sim</v>
      </c>
    </row>
    <row r="585" customFormat="false" ht="15" hidden="false" customHeight="false" outlineLevel="0" collapsed="false">
      <c r="A585" s="2" t="s">
        <v>622</v>
      </c>
      <c r="B585" s="3" t="n">
        <v>46294</v>
      </c>
      <c r="C585" s="2" t="s">
        <v>41</v>
      </c>
      <c r="D585" s="2" t="s">
        <v>38</v>
      </c>
      <c r="E585" s="2" t="s">
        <v>39</v>
      </c>
      <c r="F585" s="2" t="s">
        <v>42</v>
      </c>
      <c r="G585" s="2" t="s">
        <v>19</v>
      </c>
      <c r="H585" s="2" t="n">
        <v>224</v>
      </c>
      <c r="I585" s="2" t="n">
        <v>10.7</v>
      </c>
      <c r="J585" s="2" t="s">
        <v>20</v>
      </c>
      <c r="K585" s="2" t="n">
        <v>4</v>
      </c>
      <c r="L585" s="3" t="n">
        <f aca="false">B585-WEEKDAY(B585,2)+1</f>
        <v>46293</v>
      </c>
      <c r="M585" s="4" t="n">
        <f aca="false">IFERROR(INDEX(02_Parâmetros!$B$14:$B$17,MATCH(C585,02_Parâmetros!$A$14:$A$17,0)),"")</f>
        <v>240</v>
      </c>
      <c r="N585" s="2" t="str">
        <f aca="false">IF(OR(H585="",M585=""),"",IF(H585&lt;=M585,"Sim","Não"))</f>
        <v>Sim</v>
      </c>
    </row>
    <row r="586" customFormat="false" ht="15" hidden="false" customHeight="false" outlineLevel="0" collapsed="false">
      <c r="A586" s="2" t="s">
        <v>623</v>
      </c>
      <c r="B586" s="3" t="n">
        <v>46294</v>
      </c>
      <c r="C586" s="2" t="s">
        <v>41</v>
      </c>
      <c r="D586" s="2" t="s">
        <v>22</v>
      </c>
      <c r="E586" s="2" t="s">
        <v>23</v>
      </c>
      <c r="F586" s="2" t="s">
        <v>24</v>
      </c>
      <c r="G586" s="2" t="s">
        <v>19</v>
      </c>
      <c r="H586" s="2" t="n">
        <v>220.2</v>
      </c>
      <c r="I586" s="2" t="n">
        <v>13</v>
      </c>
      <c r="J586" s="2" t="s">
        <v>25</v>
      </c>
      <c r="K586" s="2"/>
      <c r="L586" s="3" t="n">
        <f aca="false">B586-WEEKDAY(B586,2)+1</f>
        <v>46293</v>
      </c>
      <c r="M586" s="4" t="n">
        <f aca="false">IFERROR(INDEX(02_Parâmetros!$B$14:$B$17,MATCH(C586,02_Parâmetros!$A$14:$A$17,0)),"")</f>
        <v>240</v>
      </c>
      <c r="N586" s="2" t="str">
        <f aca="false">IF(OR(H586="",M586=""),"",IF(H586&lt;=M586,"Sim","Não"))</f>
        <v>Sim</v>
      </c>
    </row>
    <row r="587" customFormat="false" ht="15" hidden="false" customHeight="false" outlineLevel="0" collapsed="false">
      <c r="A587" s="2" t="s">
        <v>624</v>
      </c>
      <c r="B587" s="3" t="n">
        <v>46294</v>
      </c>
      <c r="C587" s="2" t="s">
        <v>27</v>
      </c>
      <c r="D587" s="2" t="s">
        <v>22</v>
      </c>
      <c r="E587" s="2" t="s">
        <v>23</v>
      </c>
      <c r="F587" s="2" t="s">
        <v>18</v>
      </c>
      <c r="G587" s="2" t="s">
        <v>19</v>
      </c>
      <c r="H587" s="2" t="n">
        <v>9.8</v>
      </c>
      <c r="I587" s="2" t="n">
        <v>8.9</v>
      </c>
      <c r="J587" s="2" t="s">
        <v>20</v>
      </c>
      <c r="K587" s="2"/>
      <c r="L587" s="3" t="n">
        <f aca="false">B587-WEEKDAY(B587,2)+1</f>
        <v>46293</v>
      </c>
      <c r="M587" s="4" t="n">
        <f aca="false">IFERROR(INDEX(02_Parâmetros!$B$14:$B$17,MATCH(C587,02_Parâmetros!$A$14:$A$17,0)),"")</f>
        <v>10</v>
      </c>
      <c r="N587" s="2" t="str">
        <f aca="false">IF(OR(H587="",M587=""),"",IF(H587&lt;=M587,"Sim","Não"))</f>
        <v>Sim</v>
      </c>
    </row>
    <row r="588" customFormat="false" ht="15" hidden="false" customHeight="false" outlineLevel="0" collapsed="false">
      <c r="A588" s="2" t="s">
        <v>625</v>
      </c>
      <c r="B588" s="3" t="n">
        <v>46294</v>
      </c>
      <c r="C588" s="2" t="s">
        <v>27</v>
      </c>
      <c r="D588" s="2" t="s">
        <v>38</v>
      </c>
      <c r="E588" s="2" t="s">
        <v>56</v>
      </c>
      <c r="F588" s="2" t="s">
        <v>24</v>
      </c>
      <c r="G588" s="2" t="s">
        <v>19</v>
      </c>
      <c r="H588" s="2" t="n">
        <v>6.8</v>
      </c>
      <c r="I588" s="2" t="n">
        <v>10.7</v>
      </c>
      <c r="J588" s="2" t="s">
        <v>20</v>
      </c>
      <c r="K588" s="2"/>
      <c r="L588" s="3" t="n">
        <f aca="false">B588-WEEKDAY(B588,2)+1</f>
        <v>46293</v>
      </c>
      <c r="M588" s="4" t="n">
        <f aca="false">IFERROR(INDEX(02_Parâmetros!$B$14:$B$17,MATCH(C588,02_Parâmetros!$A$14:$A$17,0)),"")</f>
        <v>10</v>
      </c>
      <c r="N588" s="2" t="str">
        <f aca="false">IF(OR(H588="",M588=""),"",IF(H588&lt;=M588,"Sim","Não"))</f>
        <v>Sim</v>
      </c>
    </row>
    <row r="589" customFormat="false" ht="15" hidden="false" customHeight="false" outlineLevel="0" collapsed="false">
      <c r="A589" s="2" t="s">
        <v>626</v>
      </c>
      <c r="B589" s="3" t="n">
        <v>46294</v>
      </c>
      <c r="C589" s="2" t="s">
        <v>44</v>
      </c>
      <c r="D589" s="2" t="s">
        <v>38</v>
      </c>
      <c r="E589" s="2" t="s">
        <v>47</v>
      </c>
      <c r="F589" s="2" t="s">
        <v>42</v>
      </c>
      <c r="G589" s="2" t="s">
        <v>19</v>
      </c>
      <c r="H589" s="2" t="n">
        <v>1.1</v>
      </c>
      <c r="I589" s="2" t="n">
        <v>6.8</v>
      </c>
      <c r="J589" s="2" t="s">
        <v>25</v>
      </c>
      <c r="K589" s="2"/>
      <c r="L589" s="3" t="n">
        <f aca="false">B589-WEEKDAY(B589,2)+1</f>
        <v>46293</v>
      </c>
      <c r="M589" s="4" t="n">
        <f aca="false">IFERROR(INDEX(02_Parâmetros!$B$14:$B$17,MATCH(C589,02_Parâmetros!$A$14:$A$17,0)),"")</f>
        <v>2</v>
      </c>
      <c r="N589" s="2" t="str">
        <f aca="false">IF(OR(H589="",M589=""),"",IF(H589&lt;=M589,"Sim","Não"))</f>
        <v>Sim</v>
      </c>
    </row>
    <row r="590" customFormat="false" ht="15" hidden="false" customHeight="false" outlineLevel="0" collapsed="false">
      <c r="A590" s="2" t="s">
        <v>627</v>
      </c>
      <c r="B590" s="3" t="n">
        <v>46294</v>
      </c>
      <c r="C590" s="2" t="s">
        <v>15</v>
      </c>
      <c r="D590" s="2" t="s">
        <v>38</v>
      </c>
      <c r="E590" s="2" t="s">
        <v>56</v>
      </c>
      <c r="F590" s="2" t="s">
        <v>34</v>
      </c>
      <c r="G590" s="2" t="s">
        <v>19</v>
      </c>
      <c r="H590" s="2" t="n">
        <v>0.9</v>
      </c>
      <c r="I590" s="2" t="n">
        <v>6.5</v>
      </c>
      <c r="J590" s="2" t="s">
        <v>20</v>
      </c>
      <c r="K590" s="2"/>
      <c r="L590" s="3" t="n">
        <f aca="false">B590-WEEKDAY(B590,2)+1</f>
        <v>46293</v>
      </c>
      <c r="M590" s="4" t="n">
        <f aca="false">IFERROR(INDEX(02_Parâmetros!$B$14:$B$17,MATCH(C590,02_Parâmetros!$A$14:$A$17,0)),"")</f>
        <v>1</v>
      </c>
      <c r="N590" s="2" t="str">
        <f aca="false">IF(OR(H590="",M590=""),"",IF(H590&lt;=M590,"Sim","Não"))</f>
        <v>Sim</v>
      </c>
    </row>
    <row r="591" customFormat="false" ht="15" hidden="false" customHeight="false" outlineLevel="0" collapsed="false">
      <c r="A591" s="2" t="s">
        <v>628</v>
      </c>
      <c r="B591" s="3" t="n">
        <v>46294</v>
      </c>
      <c r="C591" s="2" t="s">
        <v>27</v>
      </c>
      <c r="D591" s="2" t="s">
        <v>38</v>
      </c>
      <c r="E591" s="2" t="s">
        <v>47</v>
      </c>
      <c r="F591" s="2" t="s">
        <v>32</v>
      </c>
      <c r="G591" s="2" t="s">
        <v>19</v>
      </c>
      <c r="H591" s="2" t="n">
        <v>11.7</v>
      </c>
      <c r="I591" s="2" t="n">
        <v>5</v>
      </c>
      <c r="J591" s="2" t="s">
        <v>25</v>
      </c>
      <c r="K591" s="2"/>
      <c r="L591" s="3" t="n">
        <f aca="false">B591-WEEKDAY(B591,2)+1</f>
        <v>46293</v>
      </c>
      <c r="M591" s="4" t="n">
        <f aca="false">IFERROR(INDEX(02_Parâmetros!$B$14:$B$17,MATCH(C591,02_Parâmetros!$A$14:$A$17,0)),"")</f>
        <v>10</v>
      </c>
      <c r="N591" s="2" t="str">
        <f aca="false">IF(OR(H591="",M591=""),"",IF(H591&lt;=M591,"Sim","Não"))</f>
        <v>Não</v>
      </c>
    </row>
    <row r="592" customFormat="false" ht="15" hidden="false" customHeight="false" outlineLevel="0" collapsed="false">
      <c r="A592" s="2" t="s">
        <v>629</v>
      </c>
      <c r="B592" s="3" t="n">
        <v>46294</v>
      </c>
      <c r="C592" s="2" t="s">
        <v>27</v>
      </c>
      <c r="D592" s="2" t="s">
        <v>38</v>
      </c>
      <c r="E592" s="2" t="s">
        <v>47</v>
      </c>
      <c r="F592" s="2" t="s">
        <v>32</v>
      </c>
      <c r="G592" s="2" t="s">
        <v>19</v>
      </c>
      <c r="H592" s="2" t="n">
        <v>8.6</v>
      </c>
      <c r="I592" s="2" t="n">
        <v>5.3</v>
      </c>
      <c r="J592" s="2" t="s">
        <v>20</v>
      </c>
      <c r="K592" s="2" t="n">
        <v>5</v>
      </c>
      <c r="L592" s="3" t="n">
        <f aca="false">B592-WEEKDAY(B592,2)+1</f>
        <v>46293</v>
      </c>
      <c r="M592" s="4" t="n">
        <f aca="false">IFERROR(INDEX(02_Parâmetros!$B$14:$B$17,MATCH(C592,02_Parâmetros!$A$14:$A$17,0)),"")</f>
        <v>10</v>
      </c>
      <c r="N592" s="2" t="str">
        <f aca="false">IF(OR(H592="",M592=""),"",IF(H592&lt;=M592,"Sim","Não"))</f>
        <v>Sim</v>
      </c>
    </row>
    <row r="593" customFormat="false" ht="15" hidden="false" customHeight="false" outlineLevel="0" collapsed="false">
      <c r="A593" s="2" t="s">
        <v>630</v>
      </c>
      <c r="B593" s="3" t="n">
        <v>46294</v>
      </c>
      <c r="C593" s="2" t="s">
        <v>15</v>
      </c>
      <c r="D593" s="2" t="s">
        <v>38</v>
      </c>
      <c r="E593" s="2" t="s">
        <v>39</v>
      </c>
      <c r="F593" s="2" t="s">
        <v>42</v>
      </c>
      <c r="G593" s="2" t="s">
        <v>19</v>
      </c>
      <c r="H593" s="2" t="n">
        <v>0.9</v>
      </c>
      <c r="I593" s="2" t="n">
        <v>12.7</v>
      </c>
      <c r="J593" s="2" t="s">
        <v>20</v>
      </c>
      <c r="K593" s="2"/>
      <c r="L593" s="3" t="n">
        <f aca="false">B593-WEEKDAY(B593,2)+1</f>
        <v>46293</v>
      </c>
      <c r="M593" s="4" t="n">
        <f aca="false">IFERROR(INDEX(02_Parâmetros!$B$14:$B$17,MATCH(C593,02_Parâmetros!$A$14:$A$17,0)),"")</f>
        <v>1</v>
      </c>
      <c r="N593" s="2" t="str">
        <f aca="false">IF(OR(H593="",M593=""),"",IF(H593&lt;=M593,"Sim","Não"))</f>
        <v>Sim</v>
      </c>
    </row>
    <row r="594" customFormat="false" ht="15" hidden="false" customHeight="false" outlineLevel="0" collapsed="false">
      <c r="A594" s="2" t="s">
        <v>631</v>
      </c>
      <c r="B594" s="3" t="n">
        <v>46294</v>
      </c>
      <c r="C594" s="2" t="s">
        <v>27</v>
      </c>
      <c r="D594" s="2" t="s">
        <v>16</v>
      </c>
      <c r="E594" s="2" t="s">
        <v>17</v>
      </c>
      <c r="F594" s="2" t="s">
        <v>18</v>
      </c>
      <c r="G594" s="2" t="s">
        <v>19</v>
      </c>
      <c r="H594" s="2" t="n">
        <v>3.4</v>
      </c>
      <c r="I594" s="2" t="n">
        <v>9.5</v>
      </c>
      <c r="J594" s="2" t="s">
        <v>20</v>
      </c>
      <c r="K594" s="2"/>
      <c r="L594" s="3" t="n">
        <f aca="false">B594-WEEKDAY(B594,2)+1</f>
        <v>46293</v>
      </c>
      <c r="M594" s="4" t="n">
        <f aca="false">IFERROR(INDEX(02_Parâmetros!$B$14:$B$17,MATCH(C594,02_Parâmetros!$A$14:$A$17,0)),"")</f>
        <v>10</v>
      </c>
      <c r="N594" s="2" t="str">
        <f aca="false">IF(OR(H594="",M594=""),"",IF(H594&lt;=M594,"Sim","Não"))</f>
        <v>Sim</v>
      </c>
    </row>
    <row r="595" customFormat="false" ht="15" hidden="false" customHeight="false" outlineLevel="0" collapsed="false">
      <c r="A595" s="2" t="s">
        <v>632</v>
      </c>
      <c r="B595" s="3" t="n">
        <v>46294</v>
      </c>
      <c r="C595" s="2" t="s">
        <v>27</v>
      </c>
      <c r="D595" s="2" t="s">
        <v>22</v>
      </c>
      <c r="E595" s="2" t="s">
        <v>23</v>
      </c>
      <c r="F595" s="2" t="s">
        <v>32</v>
      </c>
      <c r="G595" s="2" t="s">
        <v>19</v>
      </c>
      <c r="H595" s="2" t="n">
        <v>3.9</v>
      </c>
      <c r="I595" s="2" t="n">
        <v>7.6</v>
      </c>
      <c r="J595" s="2" t="s">
        <v>25</v>
      </c>
      <c r="K595" s="2"/>
      <c r="L595" s="3" t="n">
        <f aca="false">B595-WEEKDAY(B595,2)+1</f>
        <v>46293</v>
      </c>
      <c r="M595" s="4" t="n">
        <f aca="false">IFERROR(INDEX(02_Parâmetros!$B$14:$B$17,MATCH(C595,02_Parâmetros!$A$14:$A$17,0)),"")</f>
        <v>10</v>
      </c>
      <c r="N595" s="2" t="str">
        <f aca="false">IF(OR(H595="",M595=""),"",IF(H595&lt;=M595,"Sim","Não"))</f>
        <v>Sim</v>
      </c>
    </row>
    <row r="596" customFormat="false" ht="15" hidden="false" customHeight="false" outlineLevel="0" collapsed="false">
      <c r="A596" s="2" t="s">
        <v>633</v>
      </c>
      <c r="B596" s="3" t="n">
        <v>46295</v>
      </c>
      <c r="C596" s="2" t="s">
        <v>44</v>
      </c>
      <c r="D596" s="2" t="s">
        <v>38</v>
      </c>
      <c r="E596" s="2" t="s">
        <v>47</v>
      </c>
      <c r="F596" s="2" t="s">
        <v>18</v>
      </c>
      <c r="G596" s="2" t="s">
        <v>19</v>
      </c>
      <c r="H596" s="2" t="n">
        <v>0.6</v>
      </c>
      <c r="I596" s="2" t="n">
        <v>10.2</v>
      </c>
      <c r="J596" s="2" t="s">
        <v>20</v>
      </c>
      <c r="K596" s="2" t="n">
        <v>5</v>
      </c>
      <c r="L596" s="3" t="n">
        <f aca="false">B596-WEEKDAY(B596,2)+1</f>
        <v>46293</v>
      </c>
      <c r="M596" s="4" t="n">
        <f aca="false">IFERROR(INDEX(02_Parâmetros!$B$14:$B$17,MATCH(C596,02_Parâmetros!$A$14:$A$17,0)),"")</f>
        <v>2</v>
      </c>
      <c r="N596" s="2" t="str">
        <f aca="false">IF(OR(H596="",M596=""),"",IF(H596&lt;=M596,"Sim","Não"))</f>
        <v>Sim</v>
      </c>
    </row>
    <row r="597" customFormat="false" ht="15" hidden="false" customHeight="false" outlineLevel="0" collapsed="false">
      <c r="A597" s="2" t="s">
        <v>634</v>
      </c>
      <c r="B597" s="3" t="n">
        <v>46295</v>
      </c>
      <c r="C597" s="2" t="s">
        <v>27</v>
      </c>
      <c r="D597" s="2" t="s">
        <v>38</v>
      </c>
      <c r="E597" s="2" t="s">
        <v>56</v>
      </c>
      <c r="F597" s="2" t="s">
        <v>18</v>
      </c>
      <c r="G597" s="2" t="s">
        <v>19</v>
      </c>
      <c r="H597" s="2"/>
      <c r="I597" s="2" t="n">
        <v>7.1</v>
      </c>
      <c r="J597" s="2" t="s">
        <v>20</v>
      </c>
      <c r="K597" s="2"/>
      <c r="L597" s="3" t="n">
        <f aca="false">B597-WEEKDAY(B597,2)+1</f>
        <v>46293</v>
      </c>
      <c r="M597" s="4" t="n">
        <f aca="false">IFERROR(INDEX(02_Parâmetros!$B$14:$B$17,MATCH(C597,02_Parâmetros!$A$14:$A$17,0)),"")</f>
        <v>10</v>
      </c>
      <c r="N597" s="2" t="str">
        <f aca="false">IF(OR(H597="",M597=""),"",IF(H597&lt;=M597,"Sim","Não"))</f>
        <v/>
      </c>
    </row>
    <row r="598" customFormat="false" ht="15" hidden="false" customHeight="false" outlineLevel="0" collapsed="false">
      <c r="A598" s="2" t="s">
        <v>635</v>
      </c>
      <c r="B598" s="3" t="n">
        <v>46295</v>
      </c>
      <c r="C598" s="2" t="s">
        <v>41</v>
      </c>
      <c r="D598" s="2" t="s">
        <v>16</v>
      </c>
      <c r="E598" s="2" t="s">
        <v>17</v>
      </c>
      <c r="F598" s="2" t="s">
        <v>24</v>
      </c>
      <c r="G598" s="2" t="s">
        <v>19</v>
      </c>
      <c r="H598" s="2"/>
      <c r="I598" s="2" t="n">
        <v>11.8</v>
      </c>
      <c r="J598" s="2" t="s">
        <v>20</v>
      </c>
      <c r="K598" s="2" t="n">
        <v>4</v>
      </c>
      <c r="L598" s="3" t="n">
        <f aca="false">B598-WEEKDAY(B598,2)+1</f>
        <v>46293</v>
      </c>
      <c r="M598" s="4" t="n">
        <f aca="false">IFERROR(INDEX(02_Parâmetros!$B$14:$B$17,MATCH(C598,02_Parâmetros!$A$14:$A$17,0)),"")</f>
        <v>240</v>
      </c>
      <c r="N598" s="2" t="str">
        <f aca="false">IF(OR(H598="",M598=""),"",IF(H598&lt;=M598,"Sim","Não"))</f>
        <v/>
      </c>
    </row>
    <row r="599" customFormat="false" ht="15" hidden="false" customHeight="false" outlineLevel="0" collapsed="false">
      <c r="A599" s="2" t="s">
        <v>636</v>
      </c>
      <c r="B599" s="3" t="n">
        <v>46295</v>
      </c>
      <c r="C599" s="2" t="s">
        <v>27</v>
      </c>
      <c r="D599" s="2" t="s">
        <v>16</v>
      </c>
      <c r="E599" s="2" t="s">
        <v>31</v>
      </c>
      <c r="F599" s="2" t="s">
        <v>42</v>
      </c>
      <c r="G599" s="2" t="s">
        <v>19</v>
      </c>
      <c r="H599" s="2" t="n">
        <v>5</v>
      </c>
      <c r="I599" s="2" t="n">
        <v>6.9</v>
      </c>
      <c r="J599" s="2" t="s">
        <v>20</v>
      </c>
      <c r="K599" s="2"/>
      <c r="L599" s="3" t="n">
        <f aca="false">B599-WEEKDAY(B599,2)+1</f>
        <v>46293</v>
      </c>
      <c r="M599" s="4" t="n">
        <f aca="false">IFERROR(INDEX(02_Parâmetros!$B$14:$B$17,MATCH(C599,02_Parâmetros!$A$14:$A$17,0)),"")</f>
        <v>10</v>
      </c>
      <c r="N599" s="2" t="str">
        <f aca="false">IF(OR(H599="",M599=""),"",IF(H599&lt;=M599,"Sim","Não"))</f>
        <v>Sim</v>
      </c>
    </row>
    <row r="600" customFormat="false" ht="15" hidden="false" customHeight="false" outlineLevel="0" collapsed="false">
      <c r="A600" s="2" t="s">
        <v>637</v>
      </c>
      <c r="B600" s="3" t="n">
        <v>46295</v>
      </c>
      <c r="C600" s="2" t="s">
        <v>27</v>
      </c>
      <c r="D600" s="2" t="s">
        <v>22</v>
      </c>
      <c r="E600" s="2" t="s">
        <v>23</v>
      </c>
      <c r="F600" s="2" t="s">
        <v>34</v>
      </c>
      <c r="G600" s="2" t="s">
        <v>19</v>
      </c>
      <c r="H600" s="2" t="n">
        <v>6.5</v>
      </c>
      <c r="I600" s="2" t="n">
        <v>4</v>
      </c>
      <c r="J600" s="2" t="s">
        <v>20</v>
      </c>
      <c r="K600" s="2"/>
      <c r="L600" s="3" t="n">
        <f aca="false">B600-WEEKDAY(B600,2)+1</f>
        <v>46293</v>
      </c>
      <c r="M600" s="4" t="n">
        <f aca="false">IFERROR(INDEX(02_Parâmetros!$B$14:$B$17,MATCH(C600,02_Parâmetros!$A$14:$A$17,0)),"")</f>
        <v>10</v>
      </c>
      <c r="N600" s="2" t="str">
        <f aca="false">IF(OR(H600="",M600=""),"",IF(H600&lt;=M600,"Sim","Não"))</f>
        <v>Sim</v>
      </c>
    </row>
    <row r="601" customFormat="false" ht="15" hidden="false" customHeight="false" outlineLevel="0" collapsed="false">
      <c r="A601" s="2" t="s">
        <v>638</v>
      </c>
      <c r="B601" s="3" t="n">
        <v>46295</v>
      </c>
      <c r="C601" s="2" t="s">
        <v>44</v>
      </c>
      <c r="D601" s="2" t="s">
        <v>22</v>
      </c>
      <c r="E601" s="2" t="s">
        <v>28</v>
      </c>
      <c r="F601" s="2" t="s">
        <v>18</v>
      </c>
      <c r="G601" s="2" t="s">
        <v>19</v>
      </c>
      <c r="H601" s="2" t="n">
        <v>1</v>
      </c>
      <c r="I601" s="2" t="n">
        <v>8.7</v>
      </c>
      <c r="J601" s="2" t="s">
        <v>20</v>
      </c>
      <c r="K601" s="2"/>
      <c r="L601" s="3" t="n">
        <f aca="false">B601-WEEKDAY(B601,2)+1</f>
        <v>46293</v>
      </c>
      <c r="M601" s="4" t="n">
        <f aca="false">IFERROR(INDEX(02_Parâmetros!$B$14:$B$17,MATCH(C601,02_Parâmetros!$A$14:$A$17,0)),"")</f>
        <v>2</v>
      </c>
      <c r="N601" s="2" t="str">
        <f aca="false">IF(OR(H601="",M601=""),"",IF(H601&lt;=M601,"Sim","Não"))</f>
        <v>Sim</v>
      </c>
    </row>
    <row r="602" customFormat="false" ht="15" hidden="false" customHeight="false" outlineLevel="0" collapsed="false">
      <c r="A602" s="2" t="s">
        <v>639</v>
      </c>
      <c r="B602" s="3" t="n">
        <v>46295</v>
      </c>
      <c r="C602" s="2" t="s">
        <v>44</v>
      </c>
      <c r="D602" s="2" t="s">
        <v>38</v>
      </c>
      <c r="E602" s="2" t="s">
        <v>56</v>
      </c>
      <c r="F602" s="2" t="s">
        <v>42</v>
      </c>
      <c r="G602" s="2" t="s">
        <v>19</v>
      </c>
      <c r="H602" s="2" t="n">
        <v>1.5</v>
      </c>
      <c r="I602" s="2" t="n">
        <v>6.5</v>
      </c>
      <c r="J602" s="2" t="s">
        <v>25</v>
      </c>
      <c r="K602" s="2"/>
      <c r="L602" s="3" t="n">
        <f aca="false">B602-WEEKDAY(B602,2)+1</f>
        <v>46293</v>
      </c>
      <c r="M602" s="4" t="n">
        <f aca="false">IFERROR(INDEX(02_Parâmetros!$B$14:$B$17,MATCH(C602,02_Parâmetros!$A$14:$A$17,0)),"")</f>
        <v>2</v>
      </c>
      <c r="N602" s="2" t="str">
        <f aca="false">IF(OR(H602="",M602=""),"",IF(H602&lt;=M602,"Sim","Não"))</f>
        <v>Sim</v>
      </c>
    </row>
    <row r="603" customFormat="false" ht="15" hidden="false" customHeight="false" outlineLevel="0" collapsed="false">
      <c r="A603" s="2" t="s">
        <v>640</v>
      </c>
      <c r="B603" s="3" t="n">
        <v>46295</v>
      </c>
      <c r="C603" s="2" t="s">
        <v>41</v>
      </c>
      <c r="D603" s="2" t="s">
        <v>22</v>
      </c>
      <c r="E603" s="2" t="s">
        <v>23</v>
      </c>
      <c r="F603" s="2" t="s">
        <v>24</v>
      </c>
      <c r="G603" s="2" t="s">
        <v>19</v>
      </c>
      <c r="H603" s="2" t="n">
        <v>239.4</v>
      </c>
      <c r="I603" s="2" t="n">
        <v>12.6</v>
      </c>
      <c r="J603" s="2" t="s">
        <v>20</v>
      </c>
      <c r="K603" s="2"/>
      <c r="L603" s="3" t="n">
        <f aca="false">B603-WEEKDAY(B603,2)+1</f>
        <v>46293</v>
      </c>
      <c r="M603" s="4" t="n">
        <f aca="false">IFERROR(INDEX(02_Parâmetros!$B$14:$B$17,MATCH(C603,02_Parâmetros!$A$14:$A$17,0)),"")</f>
        <v>240</v>
      </c>
      <c r="N603" s="2" t="str">
        <f aca="false">IF(OR(H603="",M603=""),"",IF(H603&lt;=M603,"Sim","Não"))</f>
        <v>Sim</v>
      </c>
    </row>
    <row r="604" customFormat="false" ht="15" hidden="false" customHeight="false" outlineLevel="0" collapsed="false">
      <c r="A604" s="2" t="s">
        <v>641</v>
      </c>
      <c r="B604" s="3" t="n">
        <v>46295</v>
      </c>
      <c r="C604" s="2" t="s">
        <v>27</v>
      </c>
      <c r="D604" s="2" t="s">
        <v>22</v>
      </c>
      <c r="E604" s="2" t="s">
        <v>28</v>
      </c>
      <c r="F604" s="2" t="s">
        <v>42</v>
      </c>
      <c r="G604" s="2" t="s">
        <v>19</v>
      </c>
      <c r="H604" s="2" t="n">
        <v>4.2</v>
      </c>
      <c r="I604" s="2" t="n">
        <v>6</v>
      </c>
      <c r="J604" s="2" t="s">
        <v>20</v>
      </c>
      <c r="K604" s="2" t="n">
        <v>4</v>
      </c>
      <c r="L604" s="3" t="n">
        <f aca="false">B604-WEEKDAY(B604,2)+1</f>
        <v>46293</v>
      </c>
      <c r="M604" s="4" t="n">
        <f aca="false">IFERROR(INDEX(02_Parâmetros!$B$14:$B$17,MATCH(C604,02_Parâmetros!$A$14:$A$17,0)),"")</f>
        <v>10</v>
      </c>
      <c r="N604" s="2" t="str">
        <f aca="false">IF(OR(H604="",M604=""),"",IF(H604&lt;=M604,"Sim","Não"))</f>
        <v>Sim</v>
      </c>
    </row>
    <row r="605" customFormat="false" ht="15" hidden="false" customHeight="false" outlineLevel="0" collapsed="false">
      <c r="A605" s="2" t="s">
        <v>642</v>
      </c>
      <c r="B605" s="3" t="n">
        <v>46295</v>
      </c>
      <c r="C605" s="2" t="s">
        <v>44</v>
      </c>
      <c r="D605" s="2" t="s">
        <v>22</v>
      </c>
      <c r="E605" s="2" t="s">
        <v>28</v>
      </c>
      <c r="F605" s="2" t="s">
        <v>34</v>
      </c>
      <c r="G605" s="2" t="s">
        <v>19</v>
      </c>
      <c r="H605" s="2" t="n">
        <v>1.5</v>
      </c>
      <c r="I605" s="2" t="n">
        <v>9.3</v>
      </c>
      <c r="J605" s="2" t="s">
        <v>20</v>
      </c>
      <c r="K605" s="2"/>
      <c r="L605" s="3" t="n">
        <f aca="false">B605-WEEKDAY(B605,2)+1</f>
        <v>46293</v>
      </c>
      <c r="M605" s="4" t="n">
        <f aca="false">IFERROR(INDEX(02_Parâmetros!$B$14:$B$17,MATCH(C605,02_Parâmetros!$A$14:$A$17,0)),"")</f>
        <v>2</v>
      </c>
      <c r="N605" s="2" t="str">
        <f aca="false">IF(OR(H605="",M605=""),"",IF(H605&lt;=M605,"Sim","Não"))</f>
        <v>Sim</v>
      </c>
    </row>
    <row r="606" customFormat="false" ht="15" hidden="false" customHeight="false" outlineLevel="0" collapsed="false">
      <c r="A606" s="2" t="s">
        <v>643</v>
      </c>
      <c r="B606" s="3" t="n">
        <v>46295</v>
      </c>
      <c r="C606" s="2" t="s">
        <v>27</v>
      </c>
      <c r="D606" s="2" t="s">
        <v>16</v>
      </c>
      <c r="E606" s="2" t="s">
        <v>36</v>
      </c>
      <c r="F606" s="2" t="s">
        <v>18</v>
      </c>
      <c r="G606" s="2" t="s">
        <v>19</v>
      </c>
      <c r="H606" s="2" t="n">
        <v>5.9</v>
      </c>
      <c r="I606" s="2" t="n">
        <v>7.1</v>
      </c>
      <c r="J606" s="2" t="s">
        <v>20</v>
      </c>
      <c r="K606" s="2" t="n">
        <v>5</v>
      </c>
      <c r="L606" s="3" t="n">
        <f aca="false">B606-WEEKDAY(B606,2)+1</f>
        <v>46293</v>
      </c>
      <c r="M606" s="4" t="n">
        <f aca="false">IFERROR(INDEX(02_Parâmetros!$B$14:$B$17,MATCH(C606,02_Parâmetros!$A$14:$A$17,0)),"")</f>
        <v>10</v>
      </c>
      <c r="N606" s="2" t="str">
        <f aca="false">IF(OR(H606="",M606=""),"",IF(H606&lt;=M606,"Sim","Não"))</f>
        <v>Sim</v>
      </c>
    </row>
    <row r="607" customFormat="false" ht="15" hidden="false" customHeight="false" outlineLevel="0" collapsed="false">
      <c r="A607" s="2" t="s">
        <v>644</v>
      </c>
      <c r="B607" s="3" t="n">
        <v>46295</v>
      </c>
      <c r="C607" s="2" t="s">
        <v>27</v>
      </c>
      <c r="D607" s="2" t="s">
        <v>16</v>
      </c>
      <c r="E607" s="2" t="s">
        <v>31</v>
      </c>
      <c r="F607" s="2" t="s">
        <v>18</v>
      </c>
      <c r="G607" s="2" t="s">
        <v>19</v>
      </c>
      <c r="H607" s="2" t="n">
        <v>5.8</v>
      </c>
      <c r="I607" s="2" t="n">
        <v>10.4</v>
      </c>
      <c r="J607" s="2" t="s">
        <v>20</v>
      </c>
      <c r="K607" s="2"/>
      <c r="L607" s="3" t="n">
        <f aca="false">B607-WEEKDAY(B607,2)+1</f>
        <v>46293</v>
      </c>
      <c r="M607" s="4" t="n">
        <f aca="false">IFERROR(INDEX(02_Parâmetros!$B$14:$B$17,MATCH(C607,02_Parâmetros!$A$14:$A$17,0)),"")</f>
        <v>10</v>
      </c>
      <c r="N607" s="2" t="str">
        <f aca="false">IF(OR(H607="",M607=""),"",IF(H607&lt;=M607,"Sim","Não"))</f>
        <v>Sim</v>
      </c>
    </row>
    <row r="608" customFormat="false" ht="15" hidden="false" customHeight="false" outlineLevel="0" collapsed="false">
      <c r="A608" s="2" t="s">
        <v>645</v>
      </c>
      <c r="B608" s="3" t="n">
        <v>46295</v>
      </c>
      <c r="C608" s="2" t="s">
        <v>27</v>
      </c>
      <c r="D608" s="2" t="s">
        <v>38</v>
      </c>
      <c r="E608" s="2" t="s">
        <v>47</v>
      </c>
      <c r="F608" s="2" t="s">
        <v>32</v>
      </c>
      <c r="G608" s="2" t="s">
        <v>19</v>
      </c>
      <c r="H608" s="2" t="n">
        <v>9.3</v>
      </c>
      <c r="I608" s="2" t="n">
        <v>6.5</v>
      </c>
      <c r="J608" s="2" t="s">
        <v>20</v>
      </c>
      <c r="K608" s="2" t="n">
        <v>5</v>
      </c>
      <c r="L608" s="3" t="n">
        <f aca="false">B608-WEEKDAY(B608,2)+1</f>
        <v>46293</v>
      </c>
      <c r="M608" s="4" t="n">
        <f aca="false">IFERROR(INDEX(02_Parâmetros!$B$14:$B$17,MATCH(C608,02_Parâmetros!$A$14:$A$17,0)),"")</f>
        <v>10</v>
      </c>
      <c r="N608" s="2" t="str">
        <f aca="false">IF(OR(H608="",M608=""),"",IF(H608&lt;=M608,"Sim","Não"))</f>
        <v>Sim</v>
      </c>
    </row>
    <row r="609" customFormat="false" ht="15" hidden="false" customHeight="false" outlineLevel="0" collapsed="false">
      <c r="A609" s="2" t="s">
        <v>646</v>
      </c>
      <c r="B609" s="3" t="n">
        <v>46295</v>
      </c>
      <c r="C609" s="2" t="s">
        <v>15</v>
      </c>
      <c r="D609" s="2" t="s">
        <v>38</v>
      </c>
      <c r="E609" s="2" t="s">
        <v>39</v>
      </c>
      <c r="F609" s="2" t="s">
        <v>24</v>
      </c>
      <c r="G609" s="2" t="s">
        <v>78</v>
      </c>
      <c r="H609" s="2" t="n">
        <v>1.2</v>
      </c>
      <c r="I609" s="2" t="n">
        <v>31.4</v>
      </c>
      <c r="J609" s="2"/>
      <c r="K609" s="2"/>
      <c r="L609" s="3" t="n">
        <f aca="false">B609-WEEKDAY(B609,2)+1</f>
        <v>46293</v>
      </c>
      <c r="M609" s="4" t="n">
        <f aca="false">IFERROR(INDEX(02_Parâmetros!$B$14:$B$17,MATCH(C609,02_Parâmetros!$A$14:$A$17,0)),"")</f>
        <v>1</v>
      </c>
      <c r="N609" s="2" t="str">
        <f aca="false">IF(OR(H609="",M609=""),"",IF(H609&lt;=M609,"Sim","Não"))</f>
        <v>Não</v>
      </c>
    </row>
    <row r="610" customFormat="false" ht="15" hidden="false" customHeight="false" outlineLevel="0" collapsed="false">
      <c r="A610" s="2" t="s">
        <v>647</v>
      </c>
      <c r="B610" s="3" t="n">
        <v>46295</v>
      </c>
      <c r="C610" s="2" t="s">
        <v>15</v>
      </c>
      <c r="D610" s="2" t="s">
        <v>38</v>
      </c>
      <c r="E610" s="2" t="s">
        <v>47</v>
      </c>
      <c r="F610" s="2" t="s">
        <v>42</v>
      </c>
      <c r="G610" s="2" t="s">
        <v>19</v>
      </c>
      <c r="H610" s="2" t="n">
        <v>1</v>
      </c>
      <c r="I610" s="2" t="n">
        <v>13.3</v>
      </c>
      <c r="J610" s="2" t="s">
        <v>25</v>
      </c>
      <c r="K610" s="2" t="n">
        <v>5</v>
      </c>
      <c r="L610" s="3" t="n">
        <f aca="false">B610-WEEKDAY(B610,2)+1</f>
        <v>46293</v>
      </c>
      <c r="M610" s="4" t="n">
        <f aca="false">IFERROR(INDEX(02_Parâmetros!$B$14:$B$17,MATCH(C610,02_Parâmetros!$A$14:$A$17,0)),"")</f>
        <v>1</v>
      </c>
      <c r="N610" s="2" t="str">
        <f aca="false">IF(OR(H610="",M610=""),"",IF(H610&lt;=M610,"Sim","Não"))</f>
        <v>Sim</v>
      </c>
    </row>
    <row r="611" customFormat="false" ht="15" hidden="false" customHeight="false" outlineLevel="0" collapsed="false">
      <c r="A611" s="2" t="s">
        <v>648</v>
      </c>
      <c r="B611" s="3" t="n">
        <v>46295</v>
      </c>
      <c r="C611" s="2" t="s">
        <v>27</v>
      </c>
      <c r="D611" s="2" t="s">
        <v>38</v>
      </c>
      <c r="E611" s="2" t="s">
        <v>56</v>
      </c>
      <c r="F611" s="2" t="s">
        <v>70</v>
      </c>
      <c r="G611" s="2" t="s">
        <v>19</v>
      </c>
      <c r="H611" s="2" t="n">
        <v>4.6</v>
      </c>
      <c r="I611" s="2" t="n">
        <v>7.4</v>
      </c>
      <c r="J611" s="2" t="s">
        <v>25</v>
      </c>
      <c r="K611" s="2"/>
      <c r="L611" s="3" t="n">
        <f aca="false">B611-WEEKDAY(B611,2)+1</f>
        <v>46293</v>
      </c>
      <c r="M611" s="4" t="n">
        <f aca="false">IFERROR(INDEX(02_Parâmetros!$B$14:$B$17,MATCH(C611,02_Parâmetros!$A$14:$A$17,0)),"")</f>
        <v>10</v>
      </c>
      <c r="N611" s="2" t="str">
        <f aca="false">IF(OR(H611="",M611=""),"",IF(H611&lt;=M611,"Sim","Não"))</f>
        <v>Sim</v>
      </c>
    </row>
    <row r="612" customFormat="false" ht="15" hidden="false" customHeight="false" outlineLevel="0" collapsed="false">
      <c r="A612" s="2" t="s">
        <v>649</v>
      </c>
      <c r="B612" s="3" t="n">
        <v>46295</v>
      </c>
      <c r="C612" s="2" t="s">
        <v>41</v>
      </c>
      <c r="D612" s="2" t="s">
        <v>16</v>
      </c>
      <c r="E612" s="2" t="s">
        <v>31</v>
      </c>
      <c r="F612" s="2" t="s">
        <v>42</v>
      </c>
      <c r="G612" s="2" t="s">
        <v>19</v>
      </c>
      <c r="H612" s="2" t="n">
        <v>195.2</v>
      </c>
      <c r="I612" s="2" t="n">
        <v>10.4</v>
      </c>
      <c r="J612" s="2" t="s">
        <v>25</v>
      </c>
      <c r="K612" s="2" t="n">
        <v>3</v>
      </c>
      <c r="L612" s="3" t="n">
        <f aca="false">B612-WEEKDAY(B612,2)+1</f>
        <v>46293</v>
      </c>
      <c r="M612" s="4" t="n">
        <f aca="false">IFERROR(INDEX(02_Parâmetros!$B$14:$B$17,MATCH(C612,02_Parâmetros!$A$14:$A$17,0)),"")</f>
        <v>240</v>
      </c>
      <c r="N612" s="2" t="str">
        <f aca="false">IF(OR(H612="",M612=""),"",IF(H612&lt;=M612,"Sim","Não"))</f>
        <v>Sim</v>
      </c>
    </row>
    <row r="613" customFormat="false" ht="15" hidden="false" customHeight="false" outlineLevel="0" collapsed="false">
      <c r="A613" s="2" t="s">
        <v>650</v>
      </c>
      <c r="B613" s="3" t="n">
        <v>46295</v>
      </c>
      <c r="C613" s="2" t="s">
        <v>15</v>
      </c>
      <c r="D613" s="2" t="s">
        <v>38</v>
      </c>
      <c r="E613" s="2" t="s">
        <v>39</v>
      </c>
      <c r="F613" s="2" t="s">
        <v>24</v>
      </c>
      <c r="G613" s="2" t="s">
        <v>19</v>
      </c>
      <c r="H613" s="2" t="n">
        <v>0.9</v>
      </c>
      <c r="I613" s="2" t="n">
        <v>15.7</v>
      </c>
      <c r="J613" s="2" t="s">
        <v>25</v>
      </c>
      <c r="K613" s="2" t="n">
        <v>1</v>
      </c>
      <c r="L613" s="3" t="n">
        <f aca="false">B613-WEEKDAY(B613,2)+1</f>
        <v>46293</v>
      </c>
      <c r="M613" s="4" t="n">
        <f aca="false">IFERROR(INDEX(02_Parâmetros!$B$14:$B$17,MATCH(C613,02_Parâmetros!$A$14:$A$17,0)),"")</f>
        <v>1</v>
      </c>
      <c r="N613" s="2" t="str">
        <f aca="false">IF(OR(H613="",M613=""),"",IF(H613&lt;=M613,"Sim","Não"))</f>
        <v>Sim</v>
      </c>
    </row>
    <row r="614" customFormat="false" ht="15" hidden="false" customHeight="false" outlineLevel="0" collapsed="false">
      <c r="A614" s="2" t="s">
        <v>651</v>
      </c>
      <c r="B614" s="3" t="n">
        <v>46295</v>
      </c>
      <c r="C614" s="2" t="s">
        <v>15</v>
      </c>
      <c r="D614" s="2" t="s">
        <v>38</v>
      </c>
      <c r="E614" s="2" t="s">
        <v>39</v>
      </c>
      <c r="F614" s="2" t="s">
        <v>42</v>
      </c>
      <c r="G614" s="2" t="s">
        <v>19</v>
      </c>
      <c r="H614" s="2" t="n">
        <v>0.8</v>
      </c>
      <c r="I614" s="2" t="n">
        <v>8.9</v>
      </c>
      <c r="J614" s="2" t="s">
        <v>20</v>
      </c>
      <c r="K614" s="2"/>
      <c r="L614" s="3" t="n">
        <f aca="false">B614-WEEKDAY(B614,2)+1</f>
        <v>46293</v>
      </c>
      <c r="M614" s="4" t="n">
        <f aca="false">IFERROR(INDEX(02_Parâmetros!$B$14:$B$17,MATCH(C614,02_Parâmetros!$A$14:$A$17,0)),"")</f>
        <v>1</v>
      </c>
      <c r="N614" s="2" t="str">
        <f aca="false">IF(OR(H614="",M614=""),"",IF(H614&lt;=M614,"Sim","Não"))</f>
        <v>Sim</v>
      </c>
    </row>
    <row r="615" customFormat="false" ht="15" hidden="false" customHeight="false" outlineLevel="0" collapsed="false">
      <c r="A615" s="2" t="s">
        <v>652</v>
      </c>
      <c r="B615" s="3" t="n">
        <v>46295</v>
      </c>
      <c r="C615" s="2" t="s">
        <v>44</v>
      </c>
      <c r="D615" s="2" t="s">
        <v>22</v>
      </c>
      <c r="E615" s="2" t="s">
        <v>28</v>
      </c>
      <c r="F615" s="2" t="s">
        <v>42</v>
      </c>
      <c r="G615" s="2" t="s">
        <v>19</v>
      </c>
      <c r="H615" s="2" t="n">
        <v>0.7</v>
      </c>
      <c r="I615" s="2" t="n">
        <v>6.2</v>
      </c>
      <c r="J615" s="2" t="s">
        <v>20</v>
      </c>
      <c r="K615" s="2" t="n">
        <v>4</v>
      </c>
      <c r="L615" s="3" t="n">
        <f aca="false">B615-WEEKDAY(B615,2)+1</f>
        <v>46293</v>
      </c>
      <c r="M615" s="4" t="n">
        <f aca="false">IFERROR(INDEX(02_Parâmetros!$B$14:$B$17,MATCH(C615,02_Parâmetros!$A$14:$A$17,0)),"")</f>
        <v>2</v>
      </c>
      <c r="N615" s="2" t="str">
        <f aca="false">IF(OR(H615="",M615=""),"",IF(H615&lt;=M615,"Sim","Não"))</f>
        <v>Sim</v>
      </c>
    </row>
    <row r="616" customFormat="false" ht="15" hidden="false" customHeight="false" outlineLevel="0" collapsed="false">
      <c r="A616" s="2" t="s">
        <v>653</v>
      </c>
      <c r="B616" s="3" t="n">
        <v>46295</v>
      </c>
      <c r="C616" s="2" t="s">
        <v>44</v>
      </c>
      <c r="D616" s="2" t="s">
        <v>22</v>
      </c>
      <c r="E616" s="2" t="s">
        <v>28</v>
      </c>
      <c r="F616" s="2" t="s">
        <v>42</v>
      </c>
      <c r="G616" s="2" t="s">
        <v>19</v>
      </c>
      <c r="H616" s="2" t="n">
        <v>1</v>
      </c>
      <c r="I616" s="2" t="n">
        <v>10.6</v>
      </c>
      <c r="J616" s="2" t="s">
        <v>25</v>
      </c>
      <c r="K616" s="2"/>
      <c r="L616" s="3" t="n">
        <f aca="false">B616-WEEKDAY(B616,2)+1</f>
        <v>46293</v>
      </c>
      <c r="M616" s="4" t="n">
        <f aca="false">IFERROR(INDEX(02_Parâmetros!$B$14:$B$17,MATCH(C616,02_Parâmetros!$A$14:$A$17,0)),"")</f>
        <v>2</v>
      </c>
      <c r="N616" s="2" t="str">
        <f aca="false">IF(OR(H616="",M616=""),"",IF(H616&lt;=M616,"Sim","Não"))</f>
        <v>Sim</v>
      </c>
    </row>
    <row r="617" customFormat="false" ht="15" hidden="false" customHeight="false" outlineLevel="0" collapsed="false">
      <c r="A617" s="2" t="s">
        <v>654</v>
      </c>
      <c r="B617" s="3" t="n">
        <v>46295</v>
      </c>
      <c r="C617" s="2" t="s">
        <v>27</v>
      </c>
      <c r="D617" s="2" t="s">
        <v>22</v>
      </c>
      <c r="E617" s="2" t="s">
        <v>28</v>
      </c>
      <c r="F617" s="2" t="s">
        <v>18</v>
      </c>
      <c r="G617" s="2" t="s">
        <v>19</v>
      </c>
      <c r="H617" s="2" t="n">
        <v>5.1</v>
      </c>
      <c r="I617" s="2" t="n">
        <v>10.6</v>
      </c>
      <c r="J617" s="2" t="s">
        <v>20</v>
      </c>
      <c r="K617" s="2"/>
      <c r="L617" s="3" t="n">
        <f aca="false">B617-WEEKDAY(B617,2)+1</f>
        <v>46293</v>
      </c>
      <c r="M617" s="4" t="n">
        <f aca="false">IFERROR(INDEX(02_Parâmetros!$B$14:$B$17,MATCH(C617,02_Parâmetros!$A$14:$A$17,0)),"")</f>
        <v>10</v>
      </c>
      <c r="N617" s="2" t="str">
        <f aca="false">IF(OR(H617="",M617=""),"",IF(H617&lt;=M617,"Sim","Não"))</f>
        <v>Sim</v>
      </c>
    </row>
    <row r="618" customFormat="false" ht="15" hidden="false" customHeight="false" outlineLevel="0" collapsed="false">
      <c r="A618" s="2" t="s">
        <v>655</v>
      </c>
      <c r="B618" s="3" t="n">
        <v>46295</v>
      </c>
      <c r="C618" s="2" t="s">
        <v>41</v>
      </c>
      <c r="D618" s="2" t="s">
        <v>16</v>
      </c>
      <c r="E618" s="2" t="s">
        <v>31</v>
      </c>
      <c r="F618" s="2" t="s">
        <v>18</v>
      </c>
      <c r="G618" s="2" t="s">
        <v>19</v>
      </c>
      <c r="H618" s="2" t="n">
        <v>182.6</v>
      </c>
      <c r="I618" s="2" t="n">
        <v>9.1</v>
      </c>
      <c r="J618" s="2" t="s">
        <v>20</v>
      </c>
      <c r="K618" s="2" t="n">
        <v>5</v>
      </c>
      <c r="L618" s="3" t="n">
        <f aca="false">B618-WEEKDAY(B618,2)+1</f>
        <v>46293</v>
      </c>
      <c r="M618" s="4" t="n">
        <f aca="false">IFERROR(INDEX(02_Parâmetros!$B$14:$B$17,MATCH(C618,02_Parâmetros!$A$14:$A$17,0)),"")</f>
        <v>240</v>
      </c>
      <c r="N618" s="2" t="str">
        <f aca="false">IF(OR(H618="",M618=""),"",IF(H618&lt;=M618,"Sim","Não"))</f>
        <v>Sim</v>
      </c>
    </row>
    <row r="619" customFormat="false" ht="15" hidden="false" customHeight="false" outlineLevel="0" collapsed="false">
      <c r="A619" s="2" t="s">
        <v>656</v>
      </c>
      <c r="B619" s="3" t="n">
        <v>46295</v>
      </c>
      <c r="C619" s="2" t="s">
        <v>27</v>
      </c>
      <c r="D619" s="2" t="s">
        <v>16</v>
      </c>
      <c r="E619" s="2" t="s">
        <v>36</v>
      </c>
      <c r="F619" s="2" t="s">
        <v>32</v>
      </c>
      <c r="G619" s="2" t="s">
        <v>19</v>
      </c>
      <c r="H619" s="2" t="n">
        <v>7.6</v>
      </c>
      <c r="I619" s="2" t="n">
        <v>6.4</v>
      </c>
      <c r="J619" s="2" t="s">
        <v>20</v>
      </c>
      <c r="K619" s="2"/>
      <c r="L619" s="3" t="n">
        <f aca="false">B619-WEEKDAY(B619,2)+1</f>
        <v>46293</v>
      </c>
      <c r="M619" s="4" t="n">
        <f aca="false">IFERROR(INDEX(02_Parâmetros!$B$14:$B$17,MATCH(C619,02_Parâmetros!$A$14:$A$17,0)),"")</f>
        <v>10</v>
      </c>
      <c r="N619" s="2" t="str">
        <f aca="false">IF(OR(H619="",M619=""),"",IF(H619&lt;=M619,"Sim","Não"))</f>
        <v>Sim</v>
      </c>
    </row>
    <row r="620" customFormat="false" ht="15" hidden="false" customHeight="false" outlineLevel="0" collapsed="false">
      <c r="A620" s="2" t="s">
        <v>657</v>
      </c>
      <c r="B620" s="3" t="n">
        <v>46295</v>
      </c>
      <c r="C620" s="2" t="s">
        <v>41</v>
      </c>
      <c r="D620" s="2" t="s">
        <v>38</v>
      </c>
      <c r="E620" s="2" t="s">
        <v>56</v>
      </c>
      <c r="F620" s="2" t="s">
        <v>34</v>
      </c>
      <c r="G620" s="2" t="s">
        <v>19</v>
      </c>
      <c r="H620" s="2" t="n">
        <v>326.1</v>
      </c>
      <c r="I620" s="2" t="n">
        <v>7.5</v>
      </c>
      <c r="J620" s="2" t="s">
        <v>20</v>
      </c>
      <c r="K620" s="2" t="n">
        <v>3</v>
      </c>
      <c r="L620" s="3" t="n">
        <f aca="false">B620-WEEKDAY(B620,2)+1</f>
        <v>46293</v>
      </c>
      <c r="M620" s="4" t="n">
        <f aca="false">IFERROR(INDEX(02_Parâmetros!$B$14:$B$17,MATCH(C620,02_Parâmetros!$A$14:$A$17,0)),"")</f>
        <v>240</v>
      </c>
      <c r="N620" s="2" t="str">
        <f aca="false">IF(OR(H620="",M620=""),"",IF(H620&lt;=M620,"Sim","Não"))</f>
        <v>Não</v>
      </c>
    </row>
    <row r="621" customFormat="false" ht="15" hidden="false" customHeight="false" outlineLevel="0" collapsed="false">
      <c r="A621" s="2" t="s">
        <v>658</v>
      </c>
      <c r="B621" s="3" t="n">
        <v>46296</v>
      </c>
      <c r="C621" s="2" t="s">
        <v>41</v>
      </c>
      <c r="D621" s="2" t="s">
        <v>38</v>
      </c>
      <c r="E621" s="2" t="s">
        <v>56</v>
      </c>
      <c r="F621" s="2" t="s">
        <v>18</v>
      </c>
      <c r="G621" s="2" t="s">
        <v>19</v>
      </c>
      <c r="H621" s="2" t="n">
        <v>114.7</v>
      </c>
      <c r="I621" s="2" t="n">
        <v>9.5</v>
      </c>
      <c r="J621" s="2" t="s">
        <v>20</v>
      </c>
      <c r="K621" s="2"/>
      <c r="L621" s="3" t="n">
        <f aca="false">B621-WEEKDAY(B621,2)+1</f>
        <v>46293</v>
      </c>
      <c r="M621" s="4" t="n">
        <f aca="false">IFERROR(INDEX(02_Parâmetros!$B$14:$B$17,MATCH(C621,02_Parâmetros!$A$14:$A$17,0)),"")</f>
        <v>240</v>
      </c>
      <c r="N621" s="2" t="str">
        <f aca="false">IF(OR(H621="",M621=""),"",IF(H621&lt;=M621,"Sim","Não"))</f>
        <v>Sim</v>
      </c>
    </row>
    <row r="622" customFormat="false" ht="15" hidden="false" customHeight="false" outlineLevel="0" collapsed="false">
      <c r="A622" s="2" t="s">
        <v>659</v>
      </c>
      <c r="B622" s="3" t="n">
        <v>46296</v>
      </c>
      <c r="C622" s="2" t="s">
        <v>44</v>
      </c>
      <c r="D622" s="2" t="s">
        <v>38</v>
      </c>
      <c r="E622" s="2" t="s">
        <v>39</v>
      </c>
      <c r="F622" s="2" t="s">
        <v>24</v>
      </c>
      <c r="G622" s="2" t="s">
        <v>19</v>
      </c>
      <c r="H622" s="2" t="n">
        <v>0.6</v>
      </c>
      <c r="I622" s="2" t="n">
        <v>14</v>
      </c>
      <c r="J622" s="2" t="s">
        <v>20</v>
      </c>
      <c r="K622" s="2" t="n">
        <v>5</v>
      </c>
      <c r="L622" s="3" t="n">
        <f aca="false">B622-WEEKDAY(B622,2)+1</f>
        <v>46293</v>
      </c>
      <c r="M622" s="4" t="n">
        <f aca="false">IFERROR(INDEX(02_Parâmetros!$B$14:$B$17,MATCH(C622,02_Parâmetros!$A$14:$A$17,0)),"")</f>
        <v>2</v>
      </c>
      <c r="N622" s="2" t="str">
        <f aca="false">IF(OR(H622="",M622=""),"",IF(H622&lt;=M622,"Sim","Não"))</f>
        <v>Sim</v>
      </c>
    </row>
    <row r="623" customFormat="false" ht="15" hidden="false" customHeight="false" outlineLevel="0" collapsed="false">
      <c r="A623" s="2" t="s">
        <v>660</v>
      </c>
      <c r="B623" s="3" t="n">
        <v>46296</v>
      </c>
      <c r="C623" s="2" t="s">
        <v>44</v>
      </c>
      <c r="D623" s="2" t="s">
        <v>22</v>
      </c>
      <c r="E623" s="2" t="s">
        <v>23</v>
      </c>
      <c r="F623" s="2" t="s">
        <v>18</v>
      </c>
      <c r="G623" s="2" t="s">
        <v>19</v>
      </c>
      <c r="H623" s="2" t="n">
        <v>1.7</v>
      </c>
      <c r="I623" s="2" t="n">
        <v>14.7</v>
      </c>
      <c r="J623" s="2" t="s">
        <v>25</v>
      </c>
      <c r="K623" s="2"/>
      <c r="L623" s="3" t="n">
        <f aca="false">B623-WEEKDAY(B623,2)+1</f>
        <v>46293</v>
      </c>
      <c r="M623" s="4" t="n">
        <f aca="false">IFERROR(INDEX(02_Parâmetros!$B$14:$B$17,MATCH(C623,02_Parâmetros!$A$14:$A$17,0)),"")</f>
        <v>2</v>
      </c>
      <c r="N623" s="2" t="str">
        <f aca="false">IF(OR(H623="",M623=""),"",IF(H623&lt;=M623,"Sim","Não"))</f>
        <v>Sim</v>
      </c>
    </row>
    <row r="624" customFormat="false" ht="15" hidden="false" customHeight="false" outlineLevel="0" collapsed="false">
      <c r="A624" s="2" t="s">
        <v>661</v>
      </c>
      <c r="B624" s="3" t="n">
        <v>46296</v>
      </c>
      <c r="C624" s="2" t="s">
        <v>27</v>
      </c>
      <c r="D624" s="2" t="s">
        <v>16</v>
      </c>
      <c r="E624" s="2" t="s">
        <v>31</v>
      </c>
      <c r="F624" s="2" t="s">
        <v>24</v>
      </c>
      <c r="G624" s="2" t="s">
        <v>19</v>
      </c>
      <c r="H624" s="2" t="n">
        <v>27.4</v>
      </c>
      <c r="I624" s="2" t="n">
        <v>10.8</v>
      </c>
      <c r="J624" s="2" t="s">
        <v>20</v>
      </c>
      <c r="K624" s="2" t="n">
        <v>4</v>
      </c>
      <c r="L624" s="3" t="n">
        <f aca="false">B624-WEEKDAY(B624,2)+1</f>
        <v>46293</v>
      </c>
      <c r="M624" s="4" t="n">
        <f aca="false">IFERROR(INDEX(02_Parâmetros!$B$14:$B$17,MATCH(C624,02_Parâmetros!$A$14:$A$17,0)),"")</f>
        <v>10</v>
      </c>
      <c r="N624" s="2" t="str">
        <f aca="false">IF(OR(H624="",M624=""),"",IF(H624&lt;=M624,"Sim","Não"))</f>
        <v>Não</v>
      </c>
    </row>
    <row r="625" customFormat="false" ht="15" hidden="false" customHeight="false" outlineLevel="0" collapsed="false">
      <c r="A625" s="2" t="s">
        <v>662</v>
      </c>
      <c r="B625" s="3" t="n">
        <v>46296</v>
      </c>
      <c r="C625" s="2" t="s">
        <v>41</v>
      </c>
      <c r="D625" s="2" t="s">
        <v>38</v>
      </c>
      <c r="E625" s="2" t="s">
        <v>56</v>
      </c>
      <c r="F625" s="2" t="s">
        <v>24</v>
      </c>
      <c r="G625" s="2" t="s">
        <v>19</v>
      </c>
      <c r="H625" s="2" t="n">
        <v>128.8</v>
      </c>
      <c r="I625" s="2" t="n">
        <v>14.9</v>
      </c>
      <c r="J625" s="2" t="s">
        <v>20</v>
      </c>
      <c r="K625" s="2"/>
      <c r="L625" s="3" t="n">
        <f aca="false">B625-WEEKDAY(B625,2)+1</f>
        <v>46293</v>
      </c>
      <c r="M625" s="4" t="n">
        <f aca="false">IFERROR(INDEX(02_Parâmetros!$B$14:$B$17,MATCH(C625,02_Parâmetros!$A$14:$A$17,0)),"")</f>
        <v>240</v>
      </c>
      <c r="N625" s="2" t="str">
        <f aca="false">IF(OR(H625="",M625=""),"",IF(H625&lt;=M625,"Sim","Não"))</f>
        <v>Sim</v>
      </c>
    </row>
    <row r="626" customFormat="false" ht="15" hidden="false" customHeight="false" outlineLevel="0" collapsed="false">
      <c r="A626" s="2" t="s">
        <v>663</v>
      </c>
      <c r="B626" s="3" t="n">
        <v>46296</v>
      </c>
      <c r="C626" s="2" t="s">
        <v>27</v>
      </c>
      <c r="D626" s="2" t="s">
        <v>38</v>
      </c>
      <c r="E626" s="2" t="s">
        <v>47</v>
      </c>
      <c r="F626" s="2" t="s">
        <v>42</v>
      </c>
      <c r="G626" s="2" t="s">
        <v>19</v>
      </c>
      <c r="H626" s="2" t="n">
        <v>3.6</v>
      </c>
      <c r="I626" s="2" t="n">
        <v>7.6</v>
      </c>
      <c r="J626" s="2" t="s">
        <v>25</v>
      </c>
      <c r="K626" s="2" t="n">
        <v>5</v>
      </c>
      <c r="L626" s="3" t="n">
        <f aca="false">B626-WEEKDAY(B626,2)+1</f>
        <v>46293</v>
      </c>
      <c r="M626" s="4" t="n">
        <f aca="false">IFERROR(INDEX(02_Parâmetros!$B$14:$B$17,MATCH(C626,02_Parâmetros!$A$14:$A$17,0)),"")</f>
        <v>10</v>
      </c>
      <c r="N626" s="2" t="str">
        <f aca="false">IF(OR(H626="",M626=""),"",IF(H626&lt;=M626,"Sim","Não"))</f>
        <v>Sim</v>
      </c>
    </row>
    <row r="627" customFormat="false" ht="15" hidden="false" customHeight="false" outlineLevel="0" collapsed="false">
      <c r="A627" s="2" t="s">
        <v>664</v>
      </c>
      <c r="B627" s="3" t="n">
        <v>46296</v>
      </c>
      <c r="C627" s="2" t="s">
        <v>27</v>
      </c>
      <c r="D627" s="2" t="s">
        <v>22</v>
      </c>
      <c r="E627" s="2" t="s">
        <v>23</v>
      </c>
      <c r="F627" s="2" t="s">
        <v>34</v>
      </c>
      <c r="G627" s="2" t="s">
        <v>19</v>
      </c>
      <c r="H627" s="2" t="n">
        <v>4</v>
      </c>
      <c r="I627" s="2" t="n">
        <v>4.6</v>
      </c>
      <c r="J627" s="2" t="s">
        <v>20</v>
      </c>
      <c r="K627" s="2" t="n">
        <v>4</v>
      </c>
      <c r="L627" s="3" t="n">
        <f aca="false">B627-WEEKDAY(B627,2)+1</f>
        <v>46293</v>
      </c>
      <c r="M627" s="4" t="n">
        <f aca="false">IFERROR(INDEX(02_Parâmetros!$B$14:$B$17,MATCH(C627,02_Parâmetros!$A$14:$A$17,0)),"")</f>
        <v>10</v>
      </c>
      <c r="N627" s="2" t="str">
        <f aca="false">IF(OR(H627="",M627=""),"",IF(H627&lt;=M627,"Sim","Não"))</f>
        <v>Sim</v>
      </c>
    </row>
    <row r="628" customFormat="false" ht="15" hidden="false" customHeight="false" outlineLevel="0" collapsed="false">
      <c r="A628" s="2" t="s">
        <v>665</v>
      </c>
      <c r="B628" s="3" t="n">
        <v>46296</v>
      </c>
      <c r="C628" s="2" t="s">
        <v>41</v>
      </c>
      <c r="D628" s="2" t="s">
        <v>38</v>
      </c>
      <c r="E628" s="2" t="s">
        <v>56</v>
      </c>
      <c r="F628" s="2" t="s">
        <v>24</v>
      </c>
      <c r="G628" s="2" t="s">
        <v>19</v>
      </c>
      <c r="H628" s="2" t="n">
        <v>192.5</v>
      </c>
      <c r="I628" s="2" t="n">
        <v>9.3</v>
      </c>
      <c r="J628" s="2" t="s">
        <v>20</v>
      </c>
      <c r="K628" s="2"/>
      <c r="L628" s="3" t="n">
        <f aca="false">B628-WEEKDAY(B628,2)+1</f>
        <v>46293</v>
      </c>
      <c r="M628" s="4" t="n">
        <f aca="false">IFERROR(INDEX(02_Parâmetros!$B$14:$B$17,MATCH(C628,02_Parâmetros!$A$14:$A$17,0)),"")</f>
        <v>240</v>
      </c>
      <c r="N628" s="2" t="str">
        <f aca="false">IF(OR(H628="",M628=""),"",IF(H628&lt;=M628,"Sim","Não"))</f>
        <v>Sim</v>
      </c>
    </row>
    <row r="629" customFormat="false" ht="15" hidden="false" customHeight="false" outlineLevel="0" collapsed="false">
      <c r="A629" s="2" t="s">
        <v>666</v>
      </c>
      <c r="B629" s="3" t="n">
        <v>46296</v>
      </c>
      <c r="C629" s="2" t="s">
        <v>27</v>
      </c>
      <c r="D629" s="2" t="s">
        <v>16</v>
      </c>
      <c r="E629" s="2" t="s">
        <v>36</v>
      </c>
      <c r="F629" s="2" t="s">
        <v>42</v>
      </c>
      <c r="G629" s="2" t="s">
        <v>19</v>
      </c>
      <c r="H629" s="2" t="n">
        <v>7.7</v>
      </c>
      <c r="I629" s="2" t="n">
        <v>7.3</v>
      </c>
      <c r="J629" s="2" t="s">
        <v>25</v>
      </c>
      <c r="K629" s="2" t="n">
        <v>5</v>
      </c>
      <c r="L629" s="3" t="n">
        <f aca="false">B629-WEEKDAY(B629,2)+1</f>
        <v>46293</v>
      </c>
      <c r="M629" s="4" t="n">
        <f aca="false">IFERROR(INDEX(02_Parâmetros!$B$14:$B$17,MATCH(C629,02_Parâmetros!$A$14:$A$17,0)),"")</f>
        <v>10</v>
      </c>
      <c r="N629" s="2" t="str">
        <f aca="false">IF(OR(H629="",M629=""),"",IF(H629&lt;=M629,"Sim","Não"))</f>
        <v>Sim</v>
      </c>
    </row>
    <row r="630" customFormat="false" ht="15" hidden="false" customHeight="false" outlineLevel="0" collapsed="false">
      <c r="A630" s="2" t="s">
        <v>667</v>
      </c>
      <c r="B630" s="3" t="n">
        <v>46296</v>
      </c>
      <c r="C630" s="2" t="s">
        <v>44</v>
      </c>
      <c r="D630" s="2" t="s">
        <v>16</v>
      </c>
      <c r="E630" s="2" t="s">
        <v>17</v>
      </c>
      <c r="F630" s="2" t="s">
        <v>18</v>
      </c>
      <c r="G630" s="2" t="s">
        <v>19</v>
      </c>
      <c r="H630" s="2" t="n">
        <v>0.6</v>
      </c>
      <c r="I630" s="2" t="n">
        <v>12.1</v>
      </c>
      <c r="J630" s="2" t="s">
        <v>20</v>
      </c>
      <c r="K630" s="2"/>
      <c r="L630" s="3" t="n">
        <f aca="false">B630-WEEKDAY(B630,2)+1</f>
        <v>46293</v>
      </c>
      <c r="M630" s="4" t="n">
        <f aca="false">IFERROR(INDEX(02_Parâmetros!$B$14:$B$17,MATCH(C630,02_Parâmetros!$A$14:$A$17,0)),"")</f>
        <v>2</v>
      </c>
      <c r="N630" s="2" t="str">
        <f aca="false">IF(OR(H630="",M630=""),"",IF(H630&lt;=M630,"Sim","Não"))</f>
        <v>Sim</v>
      </c>
    </row>
    <row r="631" customFormat="false" ht="15" hidden="false" customHeight="false" outlineLevel="0" collapsed="false">
      <c r="A631" s="2" t="s">
        <v>668</v>
      </c>
      <c r="B631" s="3" t="n">
        <v>46296</v>
      </c>
      <c r="C631" s="2" t="s">
        <v>44</v>
      </c>
      <c r="D631" s="2" t="s">
        <v>22</v>
      </c>
      <c r="E631" s="2" t="s">
        <v>23</v>
      </c>
      <c r="F631" s="2" t="s">
        <v>32</v>
      </c>
      <c r="G631" s="2" t="s">
        <v>19</v>
      </c>
      <c r="H631" s="2" t="n">
        <v>1.9</v>
      </c>
      <c r="I631" s="2" t="n">
        <v>5.8</v>
      </c>
      <c r="J631" s="2" t="s">
        <v>20</v>
      </c>
      <c r="K631" s="2"/>
      <c r="L631" s="3" t="n">
        <f aca="false">B631-WEEKDAY(B631,2)+1</f>
        <v>46293</v>
      </c>
      <c r="M631" s="4" t="n">
        <f aca="false">IFERROR(INDEX(02_Parâmetros!$B$14:$B$17,MATCH(C631,02_Parâmetros!$A$14:$A$17,0)),"")</f>
        <v>2</v>
      </c>
      <c r="N631" s="2" t="str">
        <f aca="false">IF(OR(H631="",M631=""),"",IF(H631&lt;=M631,"Sim","Não"))</f>
        <v>Sim</v>
      </c>
    </row>
    <row r="632" customFormat="false" ht="15" hidden="false" customHeight="false" outlineLevel="0" collapsed="false">
      <c r="A632" s="2" t="s">
        <v>669</v>
      </c>
      <c r="B632" s="3" t="n">
        <v>46296</v>
      </c>
      <c r="C632" s="2" t="s">
        <v>27</v>
      </c>
      <c r="D632" s="2" t="s">
        <v>22</v>
      </c>
      <c r="E632" s="2" t="s">
        <v>23</v>
      </c>
      <c r="F632" s="2" t="s">
        <v>24</v>
      </c>
      <c r="G632" s="2" t="s">
        <v>19</v>
      </c>
      <c r="H632" s="2" t="n">
        <v>4.4</v>
      </c>
      <c r="I632" s="2" t="n">
        <v>10.7</v>
      </c>
      <c r="J632" s="2" t="s">
        <v>20</v>
      </c>
      <c r="K632" s="2" t="n">
        <v>4</v>
      </c>
      <c r="L632" s="3" t="n">
        <f aca="false">B632-WEEKDAY(B632,2)+1</f>
        <v>46293</v>
      </c>
      <c r="M632" s="4" t="n">
        <f aca="false">IFERROR(INDEX(02_Parâmetros!$B$14:$B$17,MATCH(C632,02_Parâmetros!$A$14:$A$17,0)),"")</f>
        <v>10</v>
      </c>
      <c r="N632" s="2" t="str">
        <f aca="false">IF(OR(H632="",M632=""),"",IF(H632&lt;=M632,"Sim","Não"))</f>
        <v>Sim</v>
      </c>
    </row>
    <row r="633" customFormat="false" ht="15" hidden="false" customHeight="false" outlineLevel="0" collapsed="false">
      <c r="A633" s="2" t="s">
        <v>670</v>
      </c>
      <c r="B633" s="3" t="n">
        <v>46296</v>
      </c>
      <c r="C633" s="2" t="s">
        <v>15</v>
      </c>
      <c r="D633" s="2" t="s">
        <v>38</v>
      </c>
      <c r="E633" s="2" t="s">
        <v>47</v>
      </c>
      <c r="F633" s="2" t="s">
        <v>42</v>
      </c>
      <c r="G633" s="2" t="s">
        <v>19</v>
      </c>
      <c r="H633" s="2" t="n">
        <v>0.7</v>
      </c>
      <c r="I633" s="2" t="n">
        <v>11.2</v>
      </c>
      <c r="J633" s="2" t="s">
        <v>20</v>
      </c>
      <c r="K633" s="2"/>
      <c r="L633" s="3" t="n">
        <f aca="false">B633-WEEKDAY(B633,2)+1</f>
        <v>46293</v>
      </c>
      <c r="M633" s="4" t="n">
        <f aca="false">IFERROR(INDEX(02_Parâmetros!$B$14:$B$17,MATCH(C633,02_Parâmetros!$A$14:$A$17,0)),"")</f>
        <v>1</v>
      </c>
      <c r="N633" s="2" t="str">
        <f aca="false">IF(OR(H633="",M633=""),"",IF(H633&lt;=M633,"Sim","Não"))</f>
        <v>Sim</v>
      </c>
    </row>
    <row r="634" customFormat="false" ht="15" hidden="false" customHeight="false" outlineLevel="0" collapsed="false">
      <c r="A634" s="2" t="s">
        <v>671</v>
      </c>
      <c r="B634" s="3" t="n">
        <v>46296</v>
      </c>
      <c r="C634" s="2" t="s">
        <v>44</v>
      </c>
      <c r="D634" s="2" t="s">
        <v>38</v>
      </c>
      <c r="E634" s="2" t="s">
        <v>39</v>
      </c>
      <c r="F634" s="2" t="s">
        <v>18</v>
      </c>
      <c r="G634" s="2" t="s">
        <v>78</v>
      </c>
      <c r="H634" s="2" t="n">
        <v>3.8</v>
      </c>
      <c r="I634" s="2" t="n">
        <v>8.7</v>
      </c>
      <c r="J634" s="2"/>
      <c r="K634" s="2"/>
      <c r="L634" s="3" t="n">
        <f aca="false">B634-WEEKDAY(B634,2)+1</f>
        <v>46293</v>
      </c>
      <c r="M634" s="4" t="n">
        <f aca="false">IFERROR(INDEX(02_Parâmetros!$B$14:$B$17,MATCH(C634,02_Parâmetros!$A$14:$A$17,0)),"")</f>
        <v>2</v>
      </c>
      <c r="N634" s="2" t="str">
        <f aca="false">IF(OR(H634="",M634=""),"",IF(H634&lt;=M634,"Sim","Não"))</f>
        <v>Não</v>
      </c>
    </row>
    <row r="635" customFormat="false" ht="15" hidden="false" customHeight="false" outlineLevel="0" collapsed="false">
      <c r="A635" s="2" t="s">
        <v>672</v>
      </c>
      <c r="B635" s="3" t="n">
        <v>46296</v>
      </c>
      <c r="C635" s="2" t="s">
        <v>15</v>
      </c>
      <c r="D635" s="2" t="s">
        <v>16</v>
      </c>
      <c r="E635" s="2" t="s">
        <v>36</v>
      </c>
      <c r="F635" s="2" t="s">
        <v>34</v>
      </c>
      <c r="G635" s="2" t="s">
        <v>19</v>
      </c>
      <c r="H635" s="2" t="n">
        <v>1</v>
      </c>
      <c r="I635" s="2" t="n">
        <v>8.5</v>
      </c>
      <c r="J635" s="2" t="s">
        <v>25</v>
      </c>
      <c r="K635" s="2"/>
      <c r="L635" s="3" t="n">
        <f aca="false">B635-WEEKDAY(B635,2)+1</f>
        <v>46293</v>
      </c>
      <c r="M635" s="4" t="n">
        <f aca="false">IFERROR(INDEX(02_Parâmetros!$B$14:$B$17,MATCH(C635,02_Parâmetros!$A$14:$A$17,0)),"")</f>
        <v>1</v>
      </c>
      <c r="N635" s="2" t="str">
        <f aca="false">IF(OR(H635="",M635=""),"",IF(H635&lt;=M635,"Sim","Não"))</f>
        <v>Sim</v>
      </c>
    </row>
    <row r="636" customFormat="false" ht="15" hidden="false" customHeight="false" outlineLevel="0" collapsed="false">
      <c r="A636" s="2" t="s">
        <v>673</v>
      </c>
      <c r="B636" s="3" t="n">
        <v>46296</v>
      </c>
      <c r="C636" s="2" t="s">
        <v>27</v>
      </c>
      <c r="D636" s="2" t="s">
        <v>38</v>
      </c>
      <c r="E636" s="2" t="s">
        <v>39</v>
      </c>
      <c r="F636" s="2" t="s">
        <v>32</v>
      </c>
      <c r="G636" s="2" t="s">
        <v>19</v>
      </c>
      <c r="H636" s="2" t="n">
        <v>9.4</v>
      </c>
      <c r="I636" s="2" t="n">
        <v>5.1</v>
      </c>
      <c r="J636" s="2" t="s">
        <v>20</v>
      </c>
      <c r="K636" s="2"/>
      <c r="L636" s="3" t="n">
        <f aca="false">B636-WEEKDAY(B636,2)+1</f>
        <v>46293</v>
      </c>
      <c r="M636" s="4" t="n">
        <f aca="false">IFERROR(INDEX(02_Parâmetros!$B$14:$B$17,MATCH(C636,02_Parâmetros!$A$14:$A$17,0)),"")</f>
        <v>10</v>
      </c>
      <c r="N636" s="2" t="str">
        <f aca="false">IF(OR(H636="",M636=""),"",IF(H636&lt;=M636,"Sim","Não"))</f>
        <v>Sim</v>
      </c>
    </row>
    <row r="637" customFormat="false" ht="15" hidden="false" customHeight="false" outlineLevel="0" collapsed="false">
      <c r="A637" s="2" t="s">
        <v>674</v>
      </c>
      <c r="B637" s="3" t="n">
        <v>46296</v>
      </c>
      <c r="C637" s="2" t="s">
        <v>27</v>
      </c>
      <c r="D637" s="2" t="s">
        <v>22</v>
      </c>
      <c r="E637" s="2" t="s">
        <v>23</v>
      </c>
      <c r="F637" s="2" t="s">
        <v>18</v>
      </c>
      <c r="G637" s="2" t="s">
        <v>19</v>
      </c>
      <c r="H637" s="2" t="n">
        <v>7.2</v>
      </c>
      <c r="I637" s="2" t="n">
        <v>8.3</v>
      </c>
      <c r="J637" s="2" t="s">
        <v>20</v>
      </c>
      <c r="K637" s="2"/>
      <c r="L637" s="3" t="n">
        <f aca="false">B637-WEEKDAY(B637,2)+1</f>
        <v>46293</v>
      </c>
      <c r="M637" s="4" t="n">
        <f aca="false">IFERROR(INDEX(02_Parâmetros!$B$14:$B$17,MATCH(C637,02_Parâmetros!$A$14:$A$17,0)),"")</f>
        <v>10</v>
      </c>
      <c r="N637" s="2" t="str">
        <f aca="false">IF(OR(H637="",M637=""),"",IF(H637&lt;=M637,"Sim","Não"))</f>
        <v>Sim</v>
      </c>
    </row>
    <row r="638" customFormat="false" ht="15" hidden="false" customHeight="false" outlineLevel="0" collapsed="false">
      <c r="A638" s="2" t="s">
        <v>675</v>
      </c>
      <c r="B638" s="3" t="n">
        <v>46296</v>
      </c>
      <c r="C638" s="2" t="s">
        <v>27</v>
      </c>
      <c r="D638" s="2" t="s">
        <v>16</v>
      </c>
      <c r="E638" s="2" t="s">
        <v>17</v>
      </c>
      <c r="F638" s="2" t="s">
        <v>32</v>
      </c>
      <c r="G638" s="2" t="s">
        <v>19</v>
      </c>
      <c r="H638" s="2" t="n">
        <v>3</v>
      </c>
      <c r="I638" s="2" t="n">
        <v>6.5</v>
      </c>
      <c r="J638" s="2" t="s">
        <v>20</v>
      </c>
      <c r="K638" s="2"/>
      <c r="L638" s="3" t="n">
        <f aca="false">B638-WEEKDAY(B638,2)+1</f>
        <v>46293</v>
      </c>
      <c r="M638" s="4" t="n">
        <f aca="false">IFERROR(INDEX(02_Parâmetros!$B$14:$B$17,MATCH(C638,02_Parâmetros!$A$14:$A$17,0)),"")</f>
        <v>10</v>
      </c>
      <c r="N638" s="2" t="str">
        <f aca="false">IF(OR(H638="",M638=""),"",IF(H638&lt;=M638,"Sim","Não"))</f>
        <v>Sim</v>
      </c>
    </row>
    <row r="639" customFormat="false" ht="15" hidden="false" customHeight="false" outlineLevel="0" collapsed="false">
      <c r="A639" s="2" t="s">
        <v>676</v>
      </c>
      <c r="B639" s="3" t="n">
        <v>46296</v>
      </c>
      <c r="C639" s="2" t="s">
        <v>27</v>
      </c>
      <c r="D639" s="2" t="s">
        <v>38</v>
      </c>
      <c r="E639" s="2" t="s">
        <v>56</v>
      </c>
      <c r="F639" s="2" t="s">
        <v>42</v>
      </c>
      <c r="G639" s="2" t="s">
        <v>19</v>
      </c>
      <c r="H639" s="2" t="n">
        <v>3.6</v>
      </c>
      <c r="I639" s="2" t="n">
        <v>8</v>
      </c>
      <c r="J639" s="2" t="s">
        <v>20</v>
      </c>
      <c r="K639" s="2" t="n">
        <v>2</v>
      </c>
      <c r="L639" s="3" t="n">
        <f aca="false">B639-WEEKDAY(B639,2)+1</f>
        <v>46293</v>
      </c>
      <c r="M639" s="4" t="n">
        <f aca="false">IFERROR(INDEX(02_Parâmetros!$B$14:$B$17,MATCH(C639,02_Parâmetros!$A$14:$A$17,0)),"")</f>
        <v>10</v>
      </c>
      <c r="N639" s="2" t="str">
        <f aca="false">IF(OR(H639="",M639=""),"",IF(H639&lt;=M639,"Sim","Não"))</f>
        <v>Sim</v>
      </c>
    </row>
    <row r="640" customFormat="false" ht="15" hidden="false" customHeight="false" outlineLevel="0" collapsed="false">
      <c r="A640" s="2" t="s">
        <v>677</v>
      </c>
      <c r="B640" s="3" t="n">
        <v>46296</v>
      </c>
      <c r="C640" s="2" t="s">
        <v>27</v>
      </c>
      <c r="D640" s="2" t="s">
        <v>38</v>
      </c>
      <c r="E640" s="2" t="s">
        <v>39</v>
      </c>
      <c r="F640" s="2" t="s">
        <v>24</v>
      </c>
      <c r="G640" s="2" t="s">
        <v>19</v>
      </c>
      <c r="H640" s="2" t="n">
        <v>10</v>
      </c>
      <c r="I640" s="2" t="n">
        <v>6.8</v>
      </c>
      <c r="J640" s="2" t="s">
        <v>25</v>
      </c>
      <c r="K640" s="2" t="n">
        <v>3</v>
      </c>
      <c r="L640" s="3" t="n">
        <f aca="false">B640-WEEKDAY(B640,2)+1</f>
        <v>46293</v>
      </c>
      <c r="M640" s="4" t="n">
        <f aca="false">IFERROR(INDEX(02_Parâmetros!$B$14:$B$17,MATCH(C640,02_Parâmetros!$A$14:$A$17,0)),"")</f>
        <v>10</v>
      </c>
      <c r="N640" s="2" t="str">
        <f aca="false">IF(OR(H640="",M640=""),"",IF(H640&lt;=M640,"Sim","Não"))</f>
        <v>Sim</v>
      </c>
    </row>
    <row r="641" customFormat="false" ht="15" hidden="false" customHeight="false" outlineLevel="0" collapsed="false">
      <c r="A641" s="2" t="s">
        <v>678</v>
      </c>
      <c r="B641" s="3" t="n">
        <v>46296</v>
      </c>
      <c r="C641" s="2" t="s">
        <v>27</v>
      </c>
      <c r="D641" s="2" t="s">
        <v>22</v>
      </c>
      <c r="E641" s="2" t="s">
        <v>23</v>
      </c>
      <c r="F641" s="2" t="s">
        <v>42</v>
      </c>
      <c r="G641" s="2" t="s">
        <v>19</v>
      </c>
      <c r="H641" s="2" t="n">
        <v>3.3</v>
      </c>
      <c r="I641" s="2" t="n">
        <v>3.9</v>
      </c>
      <c r="J641" s="2" t="s">
        <v>20</v>
      </c>
      <c r="K641" s="2"/>
      <c r="L641" s="3" t="n">
        <f aca="false">B641-WEEKDAY(B641,2)+1</f>
        <v>46293</v>
      </c>
      <c r="M641" s="4" t="n">
        <f aca="false">IFERROR(INDEX(02_Parâmetros!$B$14:$B$17,MATCH(C641,02_Parâmetros!$A$14:$A$17,0)),"")</f>
        <v>10</v>
      </c>
      <c r="N641" s="2" t="str">
        <f aca="false">IF(OR(H641="",M641=""),"",IF(H641&lt;=M641,"Sim","Não"))</f>
        <v>Sim</v>
      </c>
    </row>
    <row r="642" customFormat="false" ht="15" hidden="false" customHeight="false" outlineLevel="0" collapsed="false">
      <c r="A642" s="2" t="s">
        <v>679</v>
      </c>
      <c r="B642" s="3" t="n">
        <v>46297</v>
      </c>
      <c r="C642" s="2" t="s">
        <v>27</v>
      </c>
      <c r="D642" s="2" t="s">
        <v>16</v>
      </c>
      <c r="E642" s="2" t="s">
        <v>36</v>
      </c>
      <c r="F642" s="2" t="s">
        <v>18</v>
      </c>
      <c r="G642" s="2" t="s">
        <v>19</v>
      </c>
      <c r="H642" s="2" t="n">
        <v>8.7</v>
      </c>
      <c r="I642" s="2" t="n">
        <v>15</v>
      </c>
      <c r="J642" s="2" t="s">
        <v>20</v>
      </c>
      <c r="K642" s="2"/>
      <c r="L642" s="3" t="n">
        <f aca="false">B642-WEEKDAY(B642,2)+1</f>
        <v>46293</v>
      </c>
      <c r="M642" s="4" t="n">
        <f aca="false">IFERROR(INDEX(02_Parâmetros!$B$14:$B$17,MATCH(C642,02_Parâmetros!$A$14:$A$17,0)),"")</f>
        <v>10</v>
      </c>
      <c r="N642" s="2" t="str">
        <f aca="false">IF(OR(H642="",M642=""),"",IF(H642&lt;=M642,"Sim","Não"))</f>
        <v>Sim</v>
      </c>
    </row>
    <row r="643" customFormat="false" ht="15" hidden="false" customHeight="false" outlineLevel="0" collapsed="false">
      <c r="A643" s="2" t="s">
        <v>680</v>
      </c>
      <c r="B643" s="3" t="n">
        <v>46297</v>
      </c>
      <c r="C643" s="2" t="s">
        <v>44</v>
      </c>
      <c r="D643" s="2" t="s">
        <v>22</v>
      </c>
      <c r="E643" s="2" t="s">
        <v>23</v>
      </c>
      <c r="F643" s="2" t="s">
        <v>18</v>
      </c>
      <c r="G643" s="2" t="s">
        <v>19</v>
      </c>
      <c r="H643" s="2" t="n">
        <v>1.6</v>
      </c>
      <c r="I643" s="2" t="n">
        <v>10.9</v>
      </c>
      <c r="J643" s="2" t="s">
        <v>20</v>
      </c>
      <c r="K643" s="2"/>
      <c r="L643" s="3" t="n">
        <f aca="false">B643-WEEKDAY(B643,2)+1</f>
        <v>46293</v>
      </c>
      <c r="M643" s="4" t="n">
        <f aca="false">IFERROR(INDEX(02_Parâmetros!$B$14:$B$17,MATCH(C643,02_Parâmetros!$A$14:$A$17,0)),"")</f>
        <v>2</v>
      </c>
      <c r="N643" s="2" t="str">
        <f aca="false">IF(OR(H643="",M643=""),"",IF(H643&lt;=M643,"Sim","Não"))</f>
        <v>Sim</v>
      </c>
    </row>
    <row r="644" customFormat="false" ht="15" hidden="false" customHeight="false" outlineLevel="0" collapsed="false">
      <c r="A644" s="2" t="s">
        <v>681</v>
      </c>
      <c r="B644" s="3" t="n">
        <v>46297</v>
      </c>
      <c r="C644" s="2" t="s">
        <v>15</v>
      </c>
      <c r="D644" s="2" t="s">
        <v>38</v>
      </c>
      <c r="E644" s="2" t="s">
        <v>39</v>
      </c>
      <c r="F644" s="2" t="s">
        <v>18</v>
      </c>
      <c r="G644" s="2" t="s">
        <v>19</v>
      </c>
      <c r="H644" s="2" t="n">
        <v>1.5</v>
      </c>
      <c r="I644" s="2" t="n">
        <v>12.3</v>
      </c>
      <c r="J644" s="2" t="s">
        <v>20</v>
      </c>
      <c r="K644" s="2"/>
      <c r="L644" s="3" t="n">
        <f aca="false">B644-WEEKDAY(B644,2)+1</f>
        <v>46293</v>
      </c>
      <c r="M644" s="4" t="n">
        <f aca="false">IFERROR(INDEX(02_Parâmetros!$B$14:$B$17,MATCH(C644,02_Parâmetros!$A$14:$A$17,0)),"")</f>
        <v>1</v>
      </c>
      <c r="N644" s="2" t="str">
        <f aca="false">IF(OR(H644="",M644=""),"",IF(H644&lt;=M644,"Sim","Não"))</f>
        <v>Não</v>
      </c>
    </row>
    <row r="645" customFormat="false" ht="15" hidden="false" customHeight="false" outlineLevel="0" collapsed="false">
      <c r="A645" s="2" t="s">
        <v>682</v>
      </c>
      <c r="B645" s="3" t="n">
        <v>46297</v>
      </c>
      <c r="C645" s="2" t="s">
        <v>41</v>
      </c>
      <c r="D645" s="2" t="s">
        <v>16</v>
      </c>
      <c r="E645" s="2" t="s">
        <v>17</v>
      </c>
      <c r="F645" s="2" t="s">
        <v>18</v>
      </c>
      <c r="G645" s="2" t="s">
        <v>19</v>
      </c>
      <c r="H645" s="2" t="n">
        <v>177.7</v>
      </c>
      <c r="I645" s="2" t="n">
        <v>11.4</v>
      </c>
      <c r="J645" s="2" t="s">
        <v>20</v>
      </c>
      <c r="K645" s="2" t="n">
        <v>5</v>
      </c>
      <c r="L645" s="3" t="n">
        <f aca="false">B645-WEEKDAY(B645,2)+1</f>
        <v>46293</v>
      </c>
      <c r="M645" s="4" t="n">
        <f aca="false">IFERROR(INDEX(02_Parâmetros!$B$14:$B$17,MATCH(C645,02_Parâmetros!$A$14:$A$17,0)),"")</f>
        <v>240</v>
      </c>
      <c r="N645" s="2" t="str">
        <f aca="false">IF(OR(H645="",M645=""),"",IF(H645&lt;=M645,"Sim","Não"))</f>
        <v>Sim</v>
      </c>
    </row>
    <row r="646" customFormat="false" ht="15" hidden="false" customHeight="false" outlineLevel="0" collapsed="false">
      <c r="A646" s="2" t="s">
        <v>683</v>
      </c>
      <c r="B646" s="3" t="n">
        <v>46297</v>
      </c>
      <c r="C646" s="2" t="s">
        <v>41</v>
      </c>
      <c r="D646" s="2" t="s">
        <v>16</v>
      </c>
      <c r="E646" s="2" t="s">
        <v>31</v>
      </c>
      <c r="F646" s="2" t="s">
        <v>34</v>
      </c>
      <c r="G646" s="2" t="s">
        <v>19</v>
      </c>
      <c r="H646" s="2" t="n">
        <v>693.3</v>
      </c>
      <c r="I646" s="2" t="n">
        <v>7.9</v>
      </c>
      <c r="J646" s="2" t="s">
        <v>20</v>
      </c>
      <c r="K646" s="2"/>
      <c r="L646" s="3" t="n">
        <f aca="false">B646-WEEKDAY(B646,2)+1</f>
        <v>46293</v>
      </c>
      <c r="M646" s="4" t="n">
        <f aca="false">IFERROR(INDEX(02_Parâmetros!$B$14:$B$17,MATCH(C646,02_Parâmetros!$A$14:$A$17,0)),"")</f>
        <v>240</v>
      </c>
      <c r="N646" s="2" t="str">
        <f aca="false">IF(OR(H646="",M646=""),"",IF(H646&lt;=M646,"Sim","Não"))</f>
        <v>Não</v>
      </c>
    </row>
    <row r="647" customFormat="false" ht="15" hidden="false" customHeight="false" outlineLevel="0" collapsed="false">
      <c r="A647" s="2" t="s">
        <v>684</v>
      </c>
      <c r="B647" s="3" t="n">
        <v>46297</v>
      </c>
      <c r="C647" s="2" t="s">
        <v>44</v>
      </c>
      <c r="D647" s="2" t="s">
        <v>22</v>
      </c>
      <c r="E647" s="2" t="s">
        <v>23</v>
      </c>
      <c r="F647" s="2" t="s">
        <v>32</v>
      </c>
      <c r="G647" s="2" t="s">
        <v>19</v>
      </c>
      <c r="H647" s="2" t="n">
        <v>1.1</v>
      </c>
      <c r="I647" s="2" t="n">
        <v>5.3</v>
      </c>
      <c r="J647" s="2" t="s">
        <v>20</v>
      </c>
      <c r="K647" s="2"/>
      <c r="L647" s="3" t="n">
        <f aca="false">B647-WEEKDAY(B647,2)+1</f>
        <v>46293</v>
      </c>
      <c r="M647" s="4" t="n">
        <f aca="false">IFERROR(INDEX(02_Parâmetros!$B$14:$B$17,MATCH(C647,02_Parâmetros!$A$14:$A$17,0)),"")</f>
        <v>2</v>
      </c>
      <c r="N647" s="2" t="str">
        <f aca="false">IF(OR(H647="",M647=""),"",IF(H647&lt;=M647,"Sim","Não"))</f>
        <v>Sim</v>
      </c>
    </row>
    <row r="648" customFormat="false" ht="15" hidden="false" customHeight="false" outlineLevel="0" collapsed="false">
      <c r="A648" s="2" t="s">
        <v>685</v>
      </c>
      <c r="B648" s="3" t="n">
        <v>46297</v>
      </c>
      <c r="C648" s="2" t="s">
        <v>15</v>
      </c>
      <c r="D648" s="2" t="s">
        <v>22</v>
      </c>
      <c r="E648" s="2" t="s">
        <v>23</v>
      </c>
      <c r="F648" s="2" t="s">
        <v>32</v>
      </c>
      <c r="G648" s="2" t="s">
        <v>19</v>
      </c>
      <c r="H648" s="2" t="n">
        <v>0.4</v>
      </c>
      <c r="I648" s="2" t="n">
        <v>10.5</v>
      </c>
      <c r="J648" s="2" t="s">
        <v>25</v>
      </c>
      <c r="K648" s="2"/>
      <c r="L648" s="3" t="n">
        <f aca="false">B648-WEEKDAY(B648,2)+1</f>
        <v>46293</v>
      </c>
      <c r="M648" s="4" t="n">
        <f aca="false">IFERROR(INDEX(02_Parâmetros!$B$14:$B$17,MATCH(C648,02_Parâmetros!$A$14:$A$17,0)),"")</f>
        <v>1</v>
      </c>
      <c r="N648" s="2" t="str">
        <f aca="false">IF(OR(H648="",M648=""),"",IF(H648&lt;=M648,"Sim","Não"))</f>
        <v>Sim</v>
      </c>
    </row>
    <row r="649" customFormat="false" ht="15" hidden="false" customHeight="false" outlineLevel="0" collapsed="false">
      <c r="A649" s="2" t="s">
        <v>686</v>
      </c>
      <c r="B649" s="3" t="n">
        <v>46297</v>
      </c>
      <c r="C649" s="2" t="s">
        <v>41</v>
      </c>
      <c r="D649" s="2" t="s">
        <v>16</v>
      </c>
      <c r="E649" s="2" t="s">
        <v>36</v>
      </c>
      <c r="F649" s="2" t="s">
        <v>34</v>
      </c>
      <c r="G649" s="2" t="s">
        <v>19</v>
      </c>
      <c r="H649" s="2" t="n">
        <v>98.6</v>
      </c>
      <c r="I649" s="2" t="n">
        <v>6.9</v>
      </c>
      <c r="J649" s="2" t="s">
        <v>20</v>
      </c>
      <c r="K649" s="2"/>
      <c r="L649" s="3" t="n">
        <f aca="false">B649-WEEKDAY(B649,2)+1</f>
        <v>46293</v>
      </c>
      <c r="M649" s="4" t="n">
        <f aca="false">IFERROR(INDEX(02_Parâmetros!$B$14:$B$17,MATCH(C649,02_Parâmetros!$A$14:$A$17,0)),"")</f>
        <v>240</v>
      </c>
      <c r="N649" s="2" t="str">
        <f aca="false">IF(OR(H649="",M649=""),"",IF(H649&lt;=M649,"Sim","Não"))</f>
        <v>Sim</v>
      </c>
    </row>
    <row r="650" customFormat="false" ht="15" hidden="false" customHeight="false" outlineLevel="0" collapsed="false">
      <c r="A650" s="2" t="s">
        <v>687</v>
      </c>
      <c r="B650" s="3" t="n">
        <v>46297</v>
      </c>
      <c r="C650" s="2" t="s">
        <v>27</v>
      </c>
      <c r="D650" s="2" t="s">
        <v>38</v>
      </c>
      <c r="E650" s="2" t="s">
        <v>56</v>
      </c>
      <c r="F650" s="2" t="s">
        <v>70</v>
      </c>
      <c r="G650" s="2" t="s">
        <v>19</v>
      </c>
      <c r="H650" s="2" t="n">
        <v>14.7</v>
      </c>
      <c r="I650" s="2" t="n">
        <v>4.5</v>
      </c>
      <c r="J650" s="2" t="s">
        <v>20</v>
      </c>
      <c r="K650" s="2"/>
      <c r="L650" s="3" t="n">
        <f aca="false">B650-WEEKDAY(B650,2)+1</f>
        <v>46293</v>
      </c>
      <c r="M650" s="4" t="n">
        <f aca="false">IFERROR(INDEX(02_Parâmetros!$B$14:$B$17,MATCH(C650,02_Parâmetros!$A$14:$A$17,0)),"")</f>
        <v>10</v>
      </c>
      <c r="N650" s="2" t="str">
        <f aca="false">IF(OR(H650="",M650=""),"",IF(H650&lt;=M650,"Sim","Não"))</f>
        <v>Não</v>
      </c>
    </row>
    <row r="651" customFormat="false" ht="15" hidden="false" customHeight="false" outlineLevel="0" collapsed="false">
      <c r="A651" s="2" t="s">
        <v>688</v>
      </c>
      <c r="B651" s="3" t="n">
        <v>46297</v>
      </c>
      <c r="C651" s="2" t="s">
        <v>44</v>
      </c>
      <c r="D651" s="2" t="s">
        <v>22</v>
      </c>
      <c r="E651" s="2" t="s">
        <v>28</v>
      </c>
      <c r="F651" s="2" t="s">
        <v>18</v>
      </c>
      <c r="G651" s="2" t="s">
        <v>19</v>
      </c>
      <c r="H651" s="2" t="n">
        <v>1.1</v>
      </c>
      <c r="I651" s="2" t="n">
        <v>14.8</v>
      </c>
      <c r="J651" s="2" t="s">
        <v>25</v>
      </c>
      <c r="K651" s="2"/>
      <c r="L651" s="3" t="n">
        <f aca="false">B651-WEEKDAY(B651,2)+1</f>
        <v>46293</v>
      </c>
      <c r="M651" s="4" t="n">
        <f aca="false">IFERROR(INDEX(02_Parâmetros!$B$14:$B$17,MATCH(C651,02_Parâmetros!$A$14:$A$17,0)),"")</f>
        <v>2</v>
      </c>
      <c r="N651" s="2" t="str">
        <f aca="false">IF(OR(H651="",M651=""),"",IF(H651&lt;=M651,"Sim","Não"))</f>
        <v>Sim</v>
      </c>
    </row>
    <row r="652" customFormat="false" ht="15" hidden="false" customHeight="false" outlineLevel="0" collapsed="false">
      <c r="A652" s="2" t="s">
        <v>689</v>
      </c>
      <c r="B652" s="3" t="n">
        <v>46297</v>
      </c>
      <c r="C652" s="2" t="s">
        <v>41</v>
      </c>
      <c r="D652" s="2" t="s">
        <v>16</v>
      </c>
      <c r="E652" s="2" t="s">
        <v>31</v>
      </c>
      <c r="F652" s="2" t="s">
        <v>70</v>
      </c>
      <c r="G652" s="2" t="s">
        <v>19</v>
      </c>
      <c r="H652" s="2" t="n">
        <v>140.7</v>
      </c>
      <c r="I652" s="2" t="n">
        <v>10.5</v>
      </c>
      <c r="J652" s="2" t="s">
        <v>20</v>
      </c>
      <c r="K652" s="2" t="n">
        <v>5</v>
      </c>
      <c r="L652" s="3" t="n">
        <f aca="false">B652-WEEKDAY(B652,2)+1</f>
        <v>46293</v>
      </c>
      <c r="M652" s="4" t="n">
        <f aca="false">IFERROR(INDEX(02_Parâmetros!$B$14:$B$17,MATCH(C652,02_Parâmetros!$A$14:$A$17,0)),"")</f>
        <v>240</v>
      </c>
      <c r="N652" s="2" t="str">
        <f aca="false">IF(OR(H652="",M652=""),"",IF(H652&lt;=M652,"Sim","Não"))</f>
        <v>Sim</v>
      </c>
    </row>
    <row r="653" customFormat="false" ht="15" hidden="false" customHeight="false" outlineLevel="0" collapsed="false">
      <c r="A653" s="2" t="s">
        <v>690</v>
      </c>
      <c r="B653" s="3" t="n">
        <v>46297</v>
      </c>
      <c r="C653" s="2" t="s">
        <v>15</v>
      </c>
      <c r="D653" s="2" t="s">
        <v>16</v>
      </c>
      <c r="E653" s="2" t="s">
        <v>36</v>
      </c>
      <c r="F653" s="2" t="s">
        <v>18</v>
      </c>
      <c r="G653" s="2" t="s">
        <v>19</v>
      </c>
      <c r="H653" s="2" t="n">
        <v>0.4</v>
      </c>
      <c r="I653" s="2" t="n">
        <v>8.4</v>
      </c>
      <c r="J653" s="2" t="s">
        <v>20</v>
      </c>
      <c r="K653" s="2"/>
      <c r="L653" s="3" t="n">
        <f aca="false">B653-WEEKDAY(B653,2)+1</f>
        <v>46293</v>
      </c>
      <c r="M653" s="4" t="n">
        <f aca="false">IFERROR(INDEX(02_Parâmetros!$B$14:$B$17,MATCH(C653,02_Parâmetros!$A$14:$A$17,0)),"")</f>
        <v>1</v>
      </c>
      <c r="N653" s="2" t="str">
        <f aca="false">IF(OR(H653="",M653=""),"",IF(H653&lt;=M653,"Sim","Não"))</f>
        <v>Sim</v>
      </c>
    </row>
    <row r="654" customFormat="false" ht="15" hidden="false" customHeight="false" outlineLevel="0" collapsed="false">
      <c r="A654" s="2" t="s">
        <v>691</v>
      </c>
      <c r="B654" s="3" t="n">
        <v>46297</v>
      </c>
      <c r="C654" s="2" t="s">
        <v>41</v>
      </c>
      <c r="D654" s="2" t="s">
        <v>38</v>
      </c>
      <c r="E654" s="2" t="s">
        <v>56</v>
      </c>
      <c r="F654" s="2" t="s">
        <v>32</v>
      </c>
      <c r="G654" s="2" t="s">
        <v>19</v>
      </c>
      <c r="H654" s="2" t="n">
        <v>132.4</v>
      </c>
      <c r="I654" s="2" t="n">
        <v>10.1</v>
      </c>
      <c r="J654" s="2" t="s">
        <v>25</v>
      </c>
      <c r="K654" s="2" t="n">
        <v>5</v>
      </c>
      <c r="L654" s="3" t="n">
        <f aca="false">B654-WEEKDAY(B654,2)+1</f>
        <v>46293</v>
      </c>
      <c r="M654" s="4" t="n">
        <f aca="false">IFERROR(INDEX(02_Parâmetros!$B$14:$B$17,MATCH(C654,02_Parâmetros!$A$14:$A$17,0)),"")</f>
        <v>240</v>
      </c>
      <c r="N654" s="2" t="str">
        <f aca="false">IF(OR(H654="",M654=""),"",IF(H654&lt;=M654,"Sim","Não"))</f>
        <v>Sim</v>
      </c>
    </row>
    <row r="655" customFormat="false" ht="15" hidden="false" customHeight="false" outlineLevel="0" collapsed="false">
      <c r="A655" s="2" t="s">
        <v>692</v>
      </c>
      <c r="B655" s="3" t="n">
        <v>46297</v>
      </c>
      <c r="C655" s="2" t="s">
        <v>44</v>
      </c>
      <c r="D655" s="2" t="s">
        <v>38</v>
      </c>
      <c r="E655" s="2" t="s">
        <v>47</v>
      </c>
      <c r="F655" s="2" t="s">
        <v>24</v>
      </c>
      <c r="G655" s="2" t="s">
        <v>19</v>
      </c>
      <c r="H655" s="2" t="n">
        <v>1.1</v>
      </c>
      <c r="I655" s="2" t="n">
        <v>12.2</v>
      </c>
      <c r="J655" s="2" t="s">
        <v>20</v>
      </c>
      <c r="K655" s="2"/>
      <c r="L655" s="3" t="n">
        <f aca="false">B655-WEEKDAY(B655,2)+1</f>
        <v>46293</v>
      </c>
      <c r="M655" s="4" t="n">
        <f aca="false">IFERROR(INDEX(02_Parâmetros!$B$14:$B$17,MATCH(C655,02_Parâmetros!$A$14:$A$17,0)),"")</f>
        <v>2</v>
      </c>
      <c r="N655" s="2" t="str">
        <f aca="false">IF(OR(H655="",M655=""),"",IF(H655&lt;=M655,"Sim","Não"))</f>
        <v>Sim</v>
      </c>
    </row>
    <row r="656" customFormat="false" ht="15" hidden="false" customHeight="false" outlineLevel="0" collapsed="false">
      <c r="A656" s="2" t="s">
        <v>693</v>
      </c>
      <c r="B656" s="3" t="n">
        <v>46297</v>
      </c>
      <c r="C656" s="2" t="s">
        <v>41</v>
      </c>
      <c r="D656" s="2" t="s">
        <v>16</v>
      </c>
      <c r="E656" s="2" t="s">
        <v>17</v>
      </c>
      <c r="F656" s="2" t="s">
        <v>32</v>
      </c>
      <c r="G656" s="2" t="s">
        <v>19</v>
      </c>
      <c r="H656" s="2" t="n">
        <v>356</v>
      </c>
      <c r="I656" s="2" t="n">
        <v>8.4</v>
      </c>
      <c r="J656" s="2" t="s">
        <v>20</v>
      </c>
      <c r="K656" s="2"/>
      <c r="L656" s="3" t="n">
        <f aca="false">B656-WEEKDAY(B656,2)+1</f>
        <v>46293</v>
      </c>
      <c r="M656" s="4" t="n">
        <f aca="false">IFERROR(INDEX(02_Parâmetros!$B$14:$B$17,MATCH(C656,02_Parâmetros!$A$14:$A$17,0)),"")</f>
        <v>240</v>
      </c>
      <c r="N656" s="2" t="str">
        <f aca="false">IF(OR(H656="",M656=""),"",IF(H656&lt;=M656,"Sim","Não"))</f>
        <v>Não</v>
      </c>
    </row>
    <row r="657" customFormat="false" ht="15" hidden="false" customHeight="false" outlineLevel="0" collapsed="false">
      <c r="A657" s="2" t="s">
        <v>694</v>
      </c>
      <c r="B657" s="3" t="n">
        <v>46297</v>
      </c>
      <c r="C657" s="2" t="s">
        <v>41</v>
      </c>
      <c r="D657" s="2" t="s">
        <v>38</v>
      </c>
      <c r="E657" s="2" t="s">
        <v>56</v>
      </c>
      <c r="F657" s="2" t="s">
        <v>70</v>
      </c>
      <c r="G657" s="2" t="s">
        <v>19</v>
      </c>
      <c r="H657" s="2" t="n">
        <v>117</v>
      </c>
      <c r="I657" s="2" t="n">
        <v>12.2</v>
      </c>
      <c r="J657" s="2" t="s">
        <v>20</v>
      </c>
      <c r="K657" s="2"/>
      <c r="L657" s="3" t="n">
        <f aca="false">B657-WEEKDAY(B657,2)+1</f>
        <v>46293</v>
      </c>
      <c r="M657" s="4" t="n">
        <f aca="false">IFERROR(INDEX(02_Parâmetros!$B$14:$B$17,MATCH(C657,02_Parâmetros!$A$14:$A$17,0)),"")</f>
        <v>240</v>
      </c>
      <c r="N657" s="2" t="str">
        <f aca="false">IF(OR(H657="",M657=""),"",IF(H657&lt;=M657,"Sim","Não"))</f>
        <v>Sim</v>
      </c>
    </row>
    <row r="658" customFormat="false" ht="15" hidden="false" customHeight="false" outlineLevel="0" collapsed="false">
      <c r="A658" s="2" t="s">
        <v>695</v>
      </c>
      <c r="B658" s="3" t="n">
        <v>46297</v>
      </c>
      <c r="C658" s="2" t="s">
        <v>44</v>
      </c>
      <c r="D658" s="2" t="s">
        <v>16</v>
      </c>
      <c r="E658" s="2" t="s">
        <v>31</v>
      </c>
      <c r="F658" s="2" t="s">
        <v>42</v>
      </c>
      <c r="G658" s="2" t="s">
        <v>19</v>
      </c>
      <c r="H658" s="2" t="n">
        <v>2</v>
      </c>
      <c r="I658" s="2" t="n">
        <v>6.6</v>
      </c>
      <c r="J658" s="2" t="s">
        <v>25</v>
      </c>
      <c r="K658" s="2"/>
      <c r="L658" s="3" t="n">
        <f aca="false">B658-WEEKDAY(B658,2)+1</f>
        <v>46293</v>
      </c>
      <c r="M658" s="4" t="n">
        <f aca="false">IFERROR(INDEX(02_Parâmetros!$B$14:$B$17,MATCH(C658,02_Parâmetros!$A$14:$A$17,0)),"")</f>
        <v>2</v>
      </c>
      <c r="N658" s="2" t="str">
        <f aca="false">IF(OR(H658="",M658=""),"",IF(H658&lt;=M658,"Sim","Não"))</f>
        <v>Sim</v>
      </c>
    </row>
    <row r="659" customFormat="false" ht="15" hidden="false" customHeight="false" outlineLevel="0" collapsed="false">
      <c r="A659" s="2" t="s">
        <v>696</v>
      </c>
      <c r="B659" s="3" t="n">
        <v>46297</v>
      </c>
      <c r="C659" s="2" t="s">
        <v>44</v>
      </c>
      <c r="D659" s="2" t="s">
        <v>22</v>
      </c>
      <c r="E659" s="2" t="s">
        <v>23</v>
      </c>
      <c r="F659" s="2" t="s">
        <v>24</v>
      </c>
      <c r="G659" s="2" t="s">
        <v>19</v>
      </c>
      <c r="H659" s="2" t="n">
        <v>2</v>
      </c>
      <c r="I659" s="2" t="n">
        <v>11.1</v>
      </c>
      <c r="J659" s="2" t="s">
        <v>20</v>
      </c>
      <c r="K659" s="2"/>
      <c r="L659" s="3" t="n">
        <f aca="false">B659-WEEKDAY(B659,2)+1</f>
        <v>46293</v>
      </c>
      <c r="M659" s="4" t="n">
        <f aca="false">IFERROR(INDEX(02_Parâmetros!$B$14:$B$17,MATCH(C659,02_Parâmetros!$A$14:$A$17,0)),"")</f>
        <v>2</v>
      </c>
      <c r="N659" s="2" t="str">
        <f aca="false">IF(OR(H659="",M659=""),"",IF(H659&lt;=M659,"Sim","Não"))</f>
        <v>Sim</v>
      </c>
    </row>
    <row r="660" customFormat="false" ht="15" hidden="false" customHeight="false" outlineLevel="0" collapsed="false">
      <c r="A660" s="2" t="s">
        <v>697</v>
      </c>
      <c r="B660" s="3" t="n">
        <v>46297</v>
      </c>
      <c r="C660" s="2" t="s">
        <v>41</v>
      </c>
      <c r="D660" s="2" t="s">
        <v>22</v>
      </c>
      <c r="E660" s="2" t="s">
        <v>23</v>
      </c>
      <c r="F660" s="2" t="s">
        <v>32</v>
      </c>
      <c r="G660" s="2" t="s">
        <v>19</v>
      </c>
      <c r="H660" s="2" t="n">
        <v>151.1</v>
      </c>
      <c r="I660" s="2" t="n">
        <v>9.7</v>
      </c>
      <c r="J660" s="2" t="s">
        <v>20</v>
      </c>
      <c r="K660" s="2" t="n">
        <v>4</v>
      </c>
      <c r="L660" s="3" t="n">
        <f aca="false">B660-WEEKDAY(B660,2)+1</f>
        <v>46293</v>
      </c>
      <c r="M660" s="4" t="n">
        <f aca="false">IFERROR(INDEX(02_Parâmetros!$B$14:$B$17,MATCH(C660,02_Parâmetros!$A$14:$A$17,0)),"")</f>
        <v>240</v>
      </c>
      <c r="N660" s="2" t="str">
        <f aca="false">IF(OR(H660="",M660=""),"",IF(H660&lt;=M660,"Sim","Não"))</f>
        <v>Sim</v>
      </c>
    </row>
    <row r="661" customFormat="false" ht="15" hidden="false" customHeight="false" outlineLevel="0" collapsed="false">
      <c r="A661" s="2" t="s">
        <v>698</v>
      </c>
      <c r="B661" s="3" t="n">
        <v>46297</v>
      </c>
      <c r="C661" s="2" t="s">
        <v>27</v>
      </c>
      <c r="D661" s="2" t="s">
        <v>38</v>
      </c>
      <c r="E661" s="2" t="s">
        <v>56</v>
      </c>
      <c r="F661" s="2" t="s">
        <v>24</v>
      </c>
      <c r="G661" s="2" t="s">
        <v>19</v>
      </c>
      <c r="H661" s="2" t="n">
        <v>3.8</v>
      </c>
      <c r="I661" s="2" t="n">
        <v>9.8</v>
      </c>
      <c r="J661" s="2" t="s">
        <v>20</v>
      </c>
      <c r="K661" s="2"/>
      <c r="L661" s="3" t="n">
        <f aca="false">B661-WEEKDAY(B661,2)+1</f>
        <v>46293</v>
      </c>
      <c r="M661" s="4" t="n">
        <f aca="false">IFERROR(INDEX(02_Parâmetros!$B$14:$B$17,MATCH(C661,02_Parâmetros!$A$14:$A$17,0)),"")</f>
        <v>10</v>
      </c>
      <c r="N661" s="2" t="str">
        <f aca="false">IF(OR(H661="",M661=""),"",IF(H661&lt;=M661,"Sim","Não"))</f>
        <v>Sim</v>
      </c>
    </row>
    <row r="662" customFormat="false" ht="15" hidden="false" customHeight="false" outlineLevel="0" collapsed="false">
      <c r="A662" s="2" t="s">
        <v>699</v>
      </c>
      <c r="B662" s="3" t="n">
        <v>46297</v>
      </c>
      <c r="C662" s="2" t="s">
        <v>27</v>
      </c>
      <c r="D662" s="2" t="s">
        <v>16</v>
      </c>
      <c r="E662" s="2" t="s">
        <v>17</v>
      </c>
      <c r="F662" s="2" t="s">
        <v>34</v>
      </c>
      <c r="G662" s="2" t="s">
        <v>19</v>
      </c>
      <c r="H662" s="2" t="n">
        <v>9.7</v>
      </c>
      <c r="I662" s="2" t="n">
        <v>6.3</v>
      </c>
      <c r="J662" s="2" t="s">
        <v>20</v>
      </c>
      <c r="K662" s="2"/>
      <c r="L662" s="3" t="n">
        <f aca="false">B662-WEEKDAY(B662,2)+1</f>
        <v>46293</v>
      </c>
      <c r="M662" s="4" t="n">
        <f aca="false">IFERROR(INDEX(02_Parâmetros!$B$14:$B$17,MATCH(C662,02_Parâmetros!$A$14:$A$17,0)),"")</f>
        <v>10</v>
      </c>
      <c r="N662" s="2" t="str">
        <f aca="false">IF(OR(H662="",M662=""),"",IF(H662&lt;=M662,"Sim","Não"))</f>
        <v>Sim</v>
      </c>
    </row>
    <row r="663" customFormat="false" ht="15" hidden="false" customHeight="false" outlineLevel="0" collapsed="false">
      <c r="A663" s="2" t="s">
        <v>700</v>
      </c>
      <c r="B663" s="3" t="n">
        <v>46297</v>
      </c>
      <c r="C663" s="2" t="s">
        <v>41</v>
      </c>
      <c r="D663" s="2" t="s">
        <v>16</v>
      </c>
      <c r="E663" s="2" t="s">
        <v>36</v>
      </c>
      <c r="F663" s="2" t="s">
        <v>32</v>
      </c>
      <c r="G663" s="2" t="s">
        <v>19</v>
      </c>
      <c r="H663" s="2" t="n">
        <v>111.4</v>
      </c>
      <c r="I663" s="2" t="n">
        <v>11.3</v>
      </c>
      <c r="J663" s="2" t="s">
        <v>20</v>
      </c>
      <c r="K663" s="2"/>
      <c r="L663" s="3" t="n">
        <f aca="false">B663-WEEKDAY(B663,2)+1</f>
        <v>46293</v>
      </c>
      <c r="M663" s="4" t="n">
        <f aca="false">IFERROR(INDEX(02_Parâmetros!$B$14:$B$17,MATCH(C663,02_Parâmetros!$A$14:$A$17,0)),"")</f>
        <v>240</v>
      </c>
      <c r="N663" s="2" t="str">
        <f aca="false">IF(OR(H663="",M663=""),"",IF(H663&lt;=M663,"Sim","Não"))</f>
        <v>Sim</v>
      </c>
    </row>
    <row r="664" customFormat="false" ht="15" hidden="false" customHeight="false" outlineLevel="0" collapsed="false">
      <c r="A664" s="2" t="s">
        <v>701</v>
      </c>
      <c r="B664" s="3" t="n">
        <v>46297</v>
      </c>
      <c r="C664" s="2" t="s">
        <v>27</v>
      </c>
      <c r="D664" s="2" t="s">
        <v>16</v>
      </c>
      <c r="E664" s="2" t="s">
        <v>17</v>
      </c>
      <c r="F664" s="2" t="s">
        <v>32</v>
      </c>
      <c r="G664" s="2" t="s">
        <v>19</v>
      </c>
      <c r="H664" s="2" t="n">
        <v>8.1</v>
      </c>
      <c r="I664" s="2" t="n">
        <v>5.9</v>
      </c>
      <c r="J664" s="2" t="s">
        <v>20</v>
      </c>
      <c r="K664" s="2"/>
      <c r="L664" s="3" t="n">
        <f aca="false">B664-WEEKDAY(B664,2)+1</f>
        <v>46293</v>
      </c>
      <c r="M664" s="4" t="n">
        <f aca="false">IFERROR(INDEX(02_Parâmetros!$B$14:$B$17,MATCH(C664,02_Parâmetros!$A$14:$A$17,0)),"")</f>
        <v>10</v>
      </c>
      <c r="N664" s="2" t="str">
        <f aca="false">IF(OR(H664="",M664=""),"",IF(H664&lt;=M664,"Sim","Não"))</f>
        <v>Sim</v>
      </c>
    </row>
    <row r="665" customFormat="false" ht="15" hidden="false" customHeight="false" outlineLevel="0" collapsed="false">
      <c r="A665" s="2" t="s">
        <v>702</v>
      </c>
      <c r="B665" s="3" t="n">
        <v>46300</v>
      </c>
      <c r="C665" s="2" t="s">
        <v>27</v>
      </c>
      <c r="D665" s="2" t="s">
        <v>38</v>
      </c>
      <c r="E665" s="2" t="s">
        <v>39</v>
      </c>
      <c r="F665" s="2" t="s">
        <v>34</v>
      </c>
      <c r="G665" s="2" t="s">
        <v>19</v>
      </c>
      <c r="H665" s="2" t="n">
        <v>5.9</v>
      </c>
      <c r="I665" s="2" t="n">
        <v>6.9</v>
      </c>
      <c r="J665" s="2" t="s">
        <v>20</v>
      </c>
      <c r="K665" s="2"/>
      <c r="L665" s="3" t="n">
        <f aca="false">B665-WEEKDAY(B665,2)+1</f>
        <v>46300</v>
      </c>
      <c r="M665" s="4" t="n">
        <f aca="false">IFERROR(INDEX(02_Parâmetros!$B$14:$B$17,MATCH(C665,02_Parâmetros!$A$14:$A$17,0)),"")</f>
        <v>10</v>
      </c>
      <c r="N665" s="2" t="str">
        <f aca="false">IF(OR(H665="",M665=""),"",IF(H665&lt;=M665,"Sim","Não"))</f>
        <v>Sim</v>
      </c>
    </row>
    <row r="666" customFormat="false" ht="15" hidden="false" customHeight="false" outlineLevel="0" collapsed="false">
      <c r="A666" s="2" t="s">
        <v>703</v>
      </c>
      <c r="B666" s="3" t="n">
        <v>46300</v>
      </c>
      <c r="C666" s="2" t="s">
        <v>15</v>
      </c>
      <c r="D666" s="2" t="s">
        <v>38</v>
      </c>
      <c r="E666" s="2" t="s">
        <v>47</v>
      </c>
      <c r="F666" s="2" t="s">
        <v>32</v>
      </c>
      <c r="G666" s="2" t="s">
        <v>19</v>
      </c>
      <c r="H666" s="2" t="n">
        <v>1.4</v>
      </c>
      <c r="I666" s="2" t="n">
        <v>10.4</v>
      </c>
      <c r="J666" s="2" t="s">
        <v>20</v>
      </c>
      <c r="K666" s="2"/>
      <c r="L666" s="3" t="n">
        <f aca="false">B666-WEEKDAY(B666,2)+1</f>
        <v>46300</v>
      </c>
      <c r="M666" s="4" t="n">
        <f aca="false">IFERROR(INDEX(02_Parâmetros!$B$14:$B$17,MATCH(C666,02_Parâmetros!$A$14:$A$17,0)),"")</f>
        <v>1</v>
      </c>
      <c r="N666" s="2" t="str">
        <f aca="false">IF(OR(H666="",M666=""),"",IF(H666&lt;=M666,"Sim","Não"))</f>
        <v>Não</v>
      </c>
    </row>
    <row r="667" customFormat="false" ht="15" hidden="false" customHeight="false" outlineLevel="0" collapsed="false">
      <c r="A667" s="2" t="s">
        <v>704</v>
      </c>
      <c r="B667" s="3" t="n">
        <v>46300</v>
      </c>
      <c r="C667" s="2" t="s">
        <v>41</v>
      </c>
      <c r="D667" s="2" t="s">
        <v>38</v>
      </c>
      <c r="E667" s="2" t="s">
        <v>39</v>
      </c>
      <c r="F667" s="2" t="s">
        <v>32</v>
      </c>
      <c r="G667" s="2" t="s">
        <v>19</v>
      </c>
      <c r="H667" s="2" t="n">
        <v>125.8</v>
      </c>
      <c r="I667" s="2" t="n">
        <v>8.3</v>
      </c>
      <c r="J667" s="2" t="s">
        <v>20</v>
      </c>
      <c r="K667" s="2" t="n">
        <v>5</v>
      </c>
      <c r="L667" s="3" t="n">
        <f aca="false">B667-WEEKDAY(B667,2)+1</f>
        <v>46300</v>
      </c>
      <c r="M667" s="4" t="n">
        <f aca="false">IFERROR(INDEX(02_Parâmetros!$B$14:$B$17,MATCH(C667,02_Parâmetros!$A$14:$A$17,0)),"")</f>
        <v>240</v>
      </c>
      <c r="N667" s="2" t="str">
        <f aca="false">IF(OR(H667="",M667=""),"",IF(H667&lt;=M667,"Sim","Não"))</f>
        <v>Sim</v>
      </c>
    </row>
    <row r="668" customFormat="false" ht="15" hidden="false" customHeight="false" outlineLevel="0" collapsed="false">
      <c r="A668" s="2" t="s">
        <v>705</v>
      </c>
      <c r="B668" s="3" t="n">
        <v>46300</v>
      </c>
      <c r="C668" s="2" t="s">
        <v>27</v>
      </c>
      <c r="D668" s="2" t="s">
        <v>38</v>
      </c>
      <c r="E668" s="2" t="s">
        <v>39</v>
      </c>
      <c r="F668" s="2" t="s">
        <v>18</v>
      </c>
      <c r="G668" s="2" t="s">
        <v>19</v>
      </c>
      <c r="H668" s="2" t="n">
        <v>9.3</v>
      </c>
      <c r="I668" s="2" t="n">
        <v>10.4</v>
      </c>
      <c r="J668" s="2" t="s">
        <v>20</v>
      </c>
      <c r="K668" s="2"/>
      <c r="L668" s="3" t="n">
        <f aca="false">B668-WEEKDAY(B668,2)+1</f>
        <v>46300</v>
      </c>
      <c r="M668" s="4" t="n">
        <f aca="false">IFERROR(INDEX(02_Parâmetros!$B$14:$B$17,MATCH(C668,02_Parâmetros!$A$14:$A$17,0)),"")</f>
        <v>10</v>
      </c>
      <c r="N668" s="2" t="str">
        <f aca="false">IF(OR(H668="",M668=""),"",IF(H668&lt;=M668,"Sim","Não"))</f>
        <v>Sim</v>
      </c>
    </row>
    <row r="669" customFormat="false" ht="15" hidden="false" customHeight="false" outlineLevel="0" collapsed="false">
      <c r="A669" s="2" t="s">
        <v>706</v>
      </c>
      <c r="B669" s="3" t="n">
        <v>46300</v>
      </c>
      <c r="C669" s="2" t="s">
        <v>27</v>
      </c>
      <c r="D669" s="2" t="s">
        <v>22</v>
      </c>
      <c r="E669" s="2" t="s">
        <v>28</v>
      </c>
      <c r="F669" s="2" t="s">
        <v>24</v>
      </c>
      <c r="G669" s="2" t="s">
        <v>19</v>
      </c>
      <c r="H669" s="2" t="n">
        <v>5.7</v>
      </c>
      <c r="I669" s="2" t="n">
        <v>10.6</v>
      </c>
      <c r="J669" s="2" t="s">
        <v>25</v>
      </c>
      <c r="K669" s="2"/>
      <c r="L669" s="3" t="n">
        <f aca="false">B669-WEEKDAY(B669,2)+1</f>
        <v>46300</v>
      </c>
      <c r="M669" s="4" t="n">
        <f aca="false">IFERROR(INDEX(02_Parâmetros!$B$14:$B$17,MATCH(C669,02_Parâmetros!$A$14:$A$17,0)),"")</f>
        <v>10</v>
      </c>
      <c r="N669" s="2" t="str">
        <f aca="false">IF(OR(H669="",M669=""),"",IF(H669&lt;=M669,"Sim","Não"))</f>
        <v>Sim</v>
      </c>
    </row>
    <row r="670" customFormat="false" ht="15" hidden="false" customHeight="false" outlineLevel="0" collapsed="false">
      <c r="A670" s="2" t="s">
        <v>707</v>
      </c>
      <c r="B670" s="3" t="n">
        <v>46300</v>
      </c>
      <c r="C670" s="2" t="s">
        <v>27</v>
      </c>
      <c r="D670" s="2" t="s">
        <v>16</v>
      </c>
      <c r="E670" s="2" t="s">
        <v>36</v>
      </c>
      <c r="F670" s="2" t="s">
        <v>42</v>
      </c>
      <c r="G670" s="2" t="s">
        <v>19</v>
      </c>
      <c r="H670" s="2" t="n">
        <v>9.2</v>
      </c>
      <c r="I670" s="2" t="n">
        <v>9.3</v>
      </c>
      <c r="J670" s="2" t="s">
        <v>25</v>
      </c>
      <c r="K670" s="2"/>
      <c r="L670" s="3" t="n">
        <f aca="false">B670-WEEKDAY(B670,2)+1</f>
        <v>46300</v>
      </c>
      <c r="M670" s="4" t="n">
        <f aca="false">IFERROR(INDEX(02_Parâmetros!$B$14:$B$17,MATCH(C670,02_Parâmetros!$A$14:$A$17,0)),"")</f>
        <v>10</v>
      </c>
      <c r="N670" s="2" t="str">
        <f aca="false">IF(OR(H670="",M670=""),"",IF(H670&lt;=M670,"Sim","Não"))</f>
        <v>Sim</v>
      </c>
    </row>
    <row r="671" customFormat="false" ht="15" hidden="false" customHeight="false" outlineLevel="0" collapsed="false">
      <c r="A671" s="2" t="s">
        <v>708</v>
      </c>
      <c r="B671" s="3" t="n">
        <v>46300</v>
      </c>
      <c r="C671" s="2" t="s">
        <v>41</v>
      </c>
      <c r="D671" s="2" t="s">
        <v>38</v>
      </c>
      <c r="E671" s="2" t="s">
        <v>56</v>
      </c>
      <c r="F671" s="2" t="s">
        <v>18</v>
      </c>
      <c r="G671" s="2" t="s">
        <v>19</v>
      </c>
      <c r="H671" s="2" t="n">
        <v>126.8</v>
      </c>
      <c r="I671" s="2" t="n">
        <v>11.2</v>
      </c>
      <c r="J671" s="2" t="s">
        <v>25</v>
      </c>
      <c r="K671" s="2"/>
      <c r="L671" s="3" t="n">
        <f aca="false">B671-WEEKDAY(B671,2)+1</f>
        <v>46300</v>
      </c>
      <c r="M671" s="4" t="n">
        <f aca="false">IFERROR(INDEX(02_Parâmetros!$B$14:$B$17,MATCH(C671,02_Parâmetros!$A$14:$A$17,0)),"")</f>
        <v>240</v>
      </c>
      <c r="N671" s="2" t="str">
        <f aca="false">IF(OR(H671="",M671=""),"",IF(H671&lt;=M671,"Sim","Não"))</f>
        <v>Sim</v>
      </c>
    </row>
    <row r="672" customFormat="false" ht="15" hidden="false" customHeight="false" outlineLevel="0" collapsed="false">
      <c r="A672" s="2" t="s">
        <v>709</v>
      </c>
      <c r="B672" s="3" t="n">
        <v>46300</v>
      </c>
      <c r="C672" s="2" t="s">
        <v>41</v>
      </c>
      <c r="D672" s="2" t="s">
        <v>16</v>
      </c>
      <c r="E672" s="2" t="s">
        <v>36</v>
      </c>
      <c r="F672" s="2" t="s">
        <v>24</v>
      </c>
      <c r="G672" s="2" t="s">
        <v>19</v>
      </c>
      <c r="H672" s="2" t="n">
        <v>204.1</v>
      </c>
      <c r="I672" s="2" t="n">
        <v>18.4</v>
      </c>
      <c r="J672" s="2" t="s">
        <v>20</v>
      </c>
      <c r="K672" s="2" t="n">
        <v>5</v>
      </c>
      <c r="L672" s="3" t="n">
        <f aca="false">B672-WEEKDAY(B672,2)+1</f>
        <v>46300</v>
      </c>
      <c r="M672" s="4" t="n">
        <f aca="false">IFERROR(INDEX(02_Parâmetros!$B$14:$B$17,MATCH(C672,02_Parâmetros!$A$14:$A$17,0)),"")</f>
        <v>240</v>
      </c>
      <c r="N672" s="2" t="str">
        <f aca="false">IF(OR(H672="",M672=""),"",IF(H672&lt;=M672,"Sim","Não"))</f>
        <v>Sim</v>
      </c>
    </row>
    <row r="673" customFormat="false" ht="15" hidden="false" customHeight="false" outlineLevel="0" collapsed="false">
      <c r="A673" s="2" t="s">
        <v>710</v>
      </c>
      <c r="B673" s="3" t="n">
        <v>46300</v>
      </c>
      <c r="C673" s="2" t="s">
        <v>41</v>
      </c>
      <c r="D673" s="2" t="s">
        <v>38</v>
      </c>
      <c r="E673" s="2" t="s">
        <v>56</v>
      </c>
      <c r="F673" s="2" t="s">
        <v>42</v>
      </c>
      <c r="G673" s="2" t="s">
        <v>19</v>
      </c>
      <c r="H673" s="2" t="n">
        <v>198.4</v>
      </c>
      <c r="I673" s="2" t="n">
        <v>10.8</v>
      </c>
      <c r="J673" s="2" t="s">
        <v>20</v>
      </c>
      <c r="K673" s="2"/>
      <c r="L673" s="3" t="n">
        <f aca="false">B673-WEEKDAY(B673,2)+1</f>
        <v>46300</v>
      </c>
      <c r="M673" s="4" t="n">
        <f aca="false">IFERROR(INDEX(02_Parâmetros!$B$14:$B$17,MATCH(C673,02_Parâmetros!$A$14:$A$17,0)),"")</f>
        <v>240</v>
      </c>
      <c r="N673" s="2" t="str">
        <f aca="false">IF(OR(H673="",M673=""),"",IF(H673&lt;=M673,"Sim","Não"))</f>
        <v>Sim</v>
      </c>
    </row>
    <row r="674" customFormat="false" ht="15" hidden="false" customHeight="false" outlineLevel="0" collapsed="false">
      <c r="A674" s="2" t="s">
        <v>711</v>
      </c>
      <c r="B674" s="3" t="n">
        <v>46300</v>
      </c>
      <c r="C674" s="2" t="s">
        <v>44</v>
      </c>
      <c r="D674" s="2" t="s">
        <v>38</v>
      </c>
      <c r="E674" s="2" t="s">
        <v>47</v>
      </c>
      <c r="F674" s="2" t="s">
        <v>32</v>
      </c>
      <c r="G674" s="2" t="s">
        <v>19</v>
      </c>
      <c r="H674" s="2" t="n">
        <v>1.6</v>
      </c>
      <c r="I674" s="2" t="n">
        <v>8.6</v>
      </c>
      <c r="J674" s="2" t="s">
        <v>25</v>
      </c>
      <c r="K674" s="2"/>
      <c r="L674" s="3" t="n">
        <f aca="false">B674-WEEKDAY(B674,2)+1</f>
        <v>46300</v>
      </c>
      <c r="M674" s="4" t="n">
        <f aca="false">IFERROR(INDEX(02_Parâmetros!$B$14:$B$17,MATCH(C674,02_Parâmetros!$A$14:$A$17,0)),"")</f>
        <v>2</v>
      </c>
      <c r="N674" s="2" t="str">
        <f aca="false">IF(OR(H674="",M674=""),"",IF(H674&lt;=M674,"Sim","Não"))</f>
        <v>Sim</v>
      </c>
    </row>
    <row r="675" customFormat="false" ht="15" hidden="false" customHeight="false" outlineLevel="0" collapsed="false">
      <c r="A675" s="2" t="s">
        <v>712</v>
      </c>
      <c r="B675" s="3" t="n">
        <v>46300</v>
      </c>
      <c r="C675" s="2" t="s">
        <v>44</v>
      </c>
      <c r="D675" s="2" t="s">
        <v>22</v>
      </c>
      <c r="E675" s="2" t="s">
        <v>23</v>
      </c>
      <c r="F675" s="2" t="s">
        <v>42</v>
      </c>
      <c r="G675" s="2" t="s">
        <v>19</v>
      </c>
      <c r="H675" s="2" t="n">
        <v>1.1</v>
      </c>
      <c r="I675" s="2" t="n">
        <v>7.4</v>
      </c>
      <c r="J675" s="2" t="s">
        <v>20</v>
      </c>
      <c r="K675" s="2"/>
      <c r="L675" s="3" t="n">
        <f aca="false">B675-WEEKDAY(B675,2)+1</f>
        <v>46300</v>
      </c>
      <c r="M675" s="4" t="n">
        <f aca="false">IFERROR(INDEX(02_Parâmetros!$B$14:$B$17,MATCH(C675,02_Parâmetros!$A$14:$A$17,0)),"")</f>
        <v>2</v>
      </c>
      <c r="N675" s="2" t="str">
        <f aca="false">IF(OR(H675="",M675=""),"",IF(H675&lt;=M675,"Sim","Não"))</f>
        <v>Sim</v>
      </c>
    </row>
    <row r="676" customFormat="false" ht="15" hidden="false" customHeight="false" outlineLevel="0" collapsed="false">
      <c r="A676" s="2" t="s">
        <v>713</v>
      </c>
      <c r="B676" s="3" t="n">
        <v>46300</v>
      </c>
      <c r="C676" s="2" t="s">
        <v>44</v>
      </c>
      <c r="D676" s="2" t="s">
        <v>16</v>
      </c>
      <c r="E676" s="2" t="s">
        <v>31</v>
      </c>
      <c r="F676" s="2" t="s">
        <v>24</v>
      </c>
      <c r="G676" s="2" t="s">
        <v>19</v>
      </c>
      <c r="H676" s="2" t="n">
        <v>1.2</v>
      </c>
      <c r="I676" s="2" t="n">
        <v>10.9</v>
      </c>
      <c r="J676" s="2" t="s">
        <v>20</v>
      </c>
      <c r="K676" s="2" t="n">
        <v>5</v>
      </c>
      <c r="L676" s="3" t="n">
        <f aca="false">B676-WEEKDAY(B676,2)+1</f>
        <v>46300</v>
      </c>
      <c r="M676" s="4" t="n">
        <f aca="false">IFERROR(INDEX(02_Parâmetros!$B$14:$B$17,MATCH(C676,02_Parâmetros!$A$14:$A$17,0)),"")</f>
        <v>2</v>
      </c>
      <c r="N676" s="2" t="str">
        <f aca="false">IF(OR(H676="",M676=""),"",IF(H676&lt;=M676,"Sim","Não"))</f>
        <v>Sim</v>
      </c>
    </row>
    <row r="677" customFormat="false" ht="15" hidden="false" customHeight="false" outlineLevel="0" collapsed="false">
      <c r="A677" s="2" t="s">
        <v>714</v>
      </c>
      <c r="B677" s="3" t="n">
        <v>46300</v>
      </c>
      <c r="C677" s="2" t="s">
        <v>44</v>
      </c>
      <c r="D677" s="2" t="s">
        <v>22</v>
      </c>
      <c r="E677" s="2" t="s">
        <v>28</v>
      </c>
      <c r="F677" s="2" t="s">
        <v>18</v>
      </c>
      <c r="G677" s="2" t="s">
        <v>19</v>
      </c>
      <c r="H677" s="2" t="n">
        <v>2</v>
      </c>
      <c r="I677" s="2" t="n">
        <v>6.7</v>
      </c>
      <c r="J677" s="2" t="s">
        <v>25</v>
      </c>
      <c r="K677" s="2"/>
      <c r="L677" s="3" t="n">
        <f aca="false">B677-WEEKDAY(B677,2)+1</f>
        <v>46300</v>
      </c>
      <c r="M677" s="4" t="n">
        <f aca="false">IFERROR(INDEX(02_Parâmetros!$B$14:$B$17,MATCH(C677,02_Parâmetros!$A$14:$A$17,0)),"")</f>
        <v>2</v>
      </c>
      <c r="N677" s="2" t="str">
        <f aca="false">IF(OR(H677="",M677=""),"",IF(H677&lt;=M677,"Sim","Não"))</f>
        <v>Sim</v>
      </c>
    </row>
    <row r="678" customFormat="false" ht="15" hidden="false" customHeight="false" outlineLevel="0" collapsed="false">
      <c r="A678" s="2" t="s">
        <v>715</v>
      </c>
      <c r="B678" s="3" t="n">
        <v>46300</v>
      </c>
      <c r="C678" s="2" t="s">
        <v>44</v>
      </c>
      <c r="D678" s="2" t="s">
        <v>16</v>
      </c>
      <c r="E678" s="2" t="s">
        <v>36</v>
      </c>
      <c r="F678" s="2" t="s">
        <v>42</v>
      </c>
      <c r="G678" s="2" t="s">
        <v>19</v>
      </c>
      <c r="H678" s="2"/>
      <c r="I678" s="2" t="n">
        <v>8.5</v>
      </c>
      <c r="J678" s="2" t="s">
        <v>20</v>
      </c>
      <c r="K678" s="2"/>
      <c r="L678" s="3" t="n">
        <f aca="false">B678-WEEKDAY(B678,2)+1</f>
        <v>46300</v>
      </c>
      <c r="M678" s="4" t="n">
        <f aca="false">IFERROR(INDEX(02_Parâmetros!$B$14:$B$17,MATCH(C678,02_Parâmetros!$A$14:$A$17,0)),"")</f>
        <v>2</v>
      </c>
      <c r="N678" s="2" t="str">
        <f aca="false">IF(OR(H678="",M678=""),"",IF(H678&lt;=M678,"Sim","Não"))</f>
        <v/>
      </c>
    </row>
    <row r="679" customFormat="false" ht="15" hidden="false" customHeight="false" outlineLevel="0" collapsed="false">
      <c r="A679" s="2" t="s">
        <v>716</v>
      </c>
      <c r="B679" s="3" t="n">
        <v>46300</v>
      </c>
      <c r="C679" s="2" t="s">
        <v>27</v>
      </c>
      <c r="D679" s="2" t="s">
        <v>16</v>
      </c>
      <c r="E679" s="2" t="s">
        <v>17</v>
      </c>
      <c r="F679" s="2" t="s">
        <v>18</v>
      </c>
      <c r="G679" s="2" t="s">
        <v>19</v>
      </c>
      <c r="H679" s="2" t="n">
        <v>3.9</v>
      </c>
      <c r="I679" s="2" t="n">
        <v>10.5</v>
      </c>
      <c r="J679" s="2" t="s">
        <v>25</v>
      </c>
      <c r="K679" s="2" t="n">
        <v>5</v>
      </c>
      <c r="L679" s="3" t="n">
        <f aca="false">B679-WEEKDAY(B679,2)+1</f>
        <v>46300</v>
      </c>
      <c r="M679" s="4" t="n">
        <f aca="false">IFERROR(INDEX(02_Parâmetros!$B$14:$B$17,MATCH(C679,02_Parâmetros!$A$14:$A$17,0)),"")</f>
        <v>10</v>
      </c>
      <c r="N679" s="2" t="str">
        <f aca="false">IF(OR(H679="",M679=""),"",IF(H679&lt;=M679,"Sim","Não"))</f>
        <v>Sim</v>
      </c>
    </row>
    <row r="680" customFormat="false" ht="15" hidden="false" customHeight="false" outlineLevel="0" collapsed="false">
      <c r="A680" s="2" t="s">
        <v>717</v>
      </c>
      <c r="B680" s="3" t="n">
        <v>46300</v>
      </c>
      <c r="C680" s="2" t="s">
        <v>44</v>
      </c>
      <c r="D680" s="2" t="s">
        <v>38</v>
      </c>
      <c r="E680" s="2" t="s">
        <v>47</v>
      </c>
      <c r="F680" s="2" t="s">
        <v>70</v>
      </c>
      <c r="G680" s="2" t="s">
        <v>19</v>
      </c>
      <c r="H680" s="2" t="n">
        <v>1.4</v>
      </c>
      <c r="I680" s="2" t="n">
        <v>8.1</v>
      </c>
      <c r="J680" s="2" t="s">
        <v>20</v>
      </c>
      <c r="K680" s="2"/>
      <c r="L680" s="3" t="n">
        <f aca="false">B680-WEEKDAY(B680,2)+1</f>
        <v>46300</v>
      </c>
      <c r="M680" s="4" t="n">
        <f aca="false">IFERROR(INDEX(02_Parâmetros!$B$14:$B$17,MATCH(C680,02_Parâmetros!$A$14:$A$17,0)),"")</f>
        <v>2</v>
      </c>
      <c r="N680" s="2" t="str">
        <f aca="false">IF(OR(H680="",M680=""),"",IF(H680&lt;=M680,"Sim","Não"))</f>
        <v>Sim</v>
      </c>
    </row>
    <row r="681" customFormat="false" ht="15" hidden="false" customHeight="false" outlineLevel="0" collapsed="false">
      <c r="A681" s="2" t="s">
        <v>718</v>
      </c>
      <c r="B681" s="3" t="n">
        <v>46300</v>
      </c>
      <c r="C681" s="2" t="s">
        <v>41</v>
      </c>
      <c r="D681" s="2" t="s">
        <v>22</v>
      </c>
      <c r="E681" s="2" t="s">
        <v>28</v>
      </c>
      <c r="F681" s="2" t="s">
        <v>32</v>
      </c>
      <c r="G681" s="2" t="s">
        <v>19</v>
      </c>
      <c r="H681" s="2" t="n">
        <v>148.1</v>
      </c>
      <c r="I681" s="2" t="n">
        <v>6.9</v>
      </c>
      <c r="J681" s="2" t="s">
        <v>20</v>
      </c>
      <c r="K681" s="2" t="n">
        <v>5</v>
      </c>
      <c r="L681" s="3" t="n">
        <f aca="false">B681-WEEKDAY(B681,2)+1</f>
        <v>46300</v>
      </c>
      <c r="M681" s="4" t="n">
        <f aca="false">IFERROR(INDEX(02_Parâmetros!$B$14:$B$17,MATCH(C681,02_Parâmetros!$A$14:$A$17,0)),"")</f>
        <v>240</v>
      </c>
      <c r="N681" s="2" t="str">
        <f aca="false">IF(OR(H681="",M681=""),"",IF(H681&lt;=M681,"Sim","Não"))</f>
        <v>Sim</v>
      </c>
    </row>
    <row r="682" customFormat="false" ht="15" hidden="false" customHeight="false" outlineLevel="0" collapsed="false">
      <c r="A682" s="2" t="s">
        <v>719</v>
      </c>
      <c r="B682" s="3" t="n">
        <v>46300</v>
      </c>
      <c r="C682" s="2" t="s">
        <v>44</v>
      </c>
      <c r="D682" s="2" t="s">
        <v>38</v>
      </c>
      <c r="E682" s="2" t="s">
        <v>56</v>
      </c>
      <c r="F682" s="2" t="s">
        <v>18</v>
      </c>
      <c r="G682" s="2" t="s">
        <v>19</v>
      </c>
      <c r="H682" s="2" t="n">
        <v>2.3</v>
      </c>
      <c r="I682" s="2" t="n">
        <v>7.5</v>
      </c>
      <c r="J682" s="2" t="s">
        <v>20</v>
      </c>
      <c r="K682" s="2" t="n">
        <v>5</v>
      </c>
      <c r="L682" s="3" t="n">
        <f aca="false">B682-WEEKDAY(B682,2)+1</f>
        <v>46300</v>
      </c>
      <c r="M682" s="4" t="n">
        <f aca="false">IFERROR(INDEX(02_Parâmetros!$B$14:$B$17,MATCH(C682,02_Parâmetros!$A$14:$A$17,0)),"")</f>
        <v>2</v>
      </c>
      <c r="N682" s="2" t="str">
        <f aca="false">IF(OR(H682="",M682=""),"",IF(H682&lt;=M682,"Sim","Não"))</f>
        <v>Não</v>
      </c>
    </row>
    <row r="683" customFormat="false" ht="15" hidden="false" customHeight="false" outlineLevel="0" collapsed="false">
      <c r="A683" s="2" t="s">
        <v>720</v>
      </c>
      <c r="B683" s="3" t="n">
        <v>46300</v>
      </c>
      <c r="C683" s="2" t="s">
        <v>27</v>
      </c>
      <c r="D683" s="2" t="s">
        <v>16</v>
      </c>
      <c r="E683" s="2" t="s">
        <v>31</v>
      </c>
      <c r="F683" s="2" t="s">
        <v>42</v>
      </c>
      <c r="G683" s="2" t="s">
        <v>19</v>
      </c>
      <c r="H683" s="2" t="n">
        <v>9.6</v>
      </c>
      <c r="I683" s="2" t="n">
        <v>5.5</v>
      </c>
      <c r="J683" s="2" t="s">
        <v>20</v>
      </c>
      <c r="K683" s="2"/>
      <c r="L683" s="3" t="n">
        <f aca="false">B683-WEEKDAY(B683,2)+1</f>
        <v>46300</v>
      </c>
      <c r="M683" s="4" t="n">
        <f aca="false">IFERROR(INDEX(02_Parâmetros!$B$14:$B$17,MATCH(C683,02_Parâmetros!$A$14:$A$17,0)),"")</f>
        <v>10</v>
      </c>
      <c r="N683" s="2" t="str">
        <f aca="false">IF(OR(H683="",M683=""),"",IF(H683&lt;=M683,"Sim","Não"))</f>
        <v>Sim</v>
      </c>
    </row>
    <row r="684" customFormat="false" ht="15" hidden="false" customHeight="false" outlineLevel="0" collapsed="false">
      <c r="A684" s="2" t="s">
        <v>721</v>
      </c>
      <c r="B684" s="3" t="n">
        <v>46300</v>
      </c>
      <c r="C684" s="2" t="s">
        <v>15</v>
      </c>
      <c r="D684" s="2" t="s">
        <v>16</v>
      </c>
      <c r="E684" s="2" t="s">
        <v>36</v>
      </c>
      <c r="F684" s="2" t="s">
        <v>18</v>
      </c>
      <c r="G684" s="2" t="s">
        <v>19</v>
      </c>
      <c r="H684" s="2" t="n">
        <v>0.9</v>
      </c>
      <c r="I684" s="2" t="n">
        <v>17.3</v>
      </c>
      <c r="J684" s="2" t="s">
        <v>20</v>
      </c>
      <c r="K684" s="2" t="n">
        <v>3</v>
      </c>
      <c r="L684" s="3" t="n">
        <f aca="false">B684-WEEKDAY(B684,2)+1</f>
        <v>46300</v>
      </c>
      <c r="M684" s="4" t="n">
        <f aca="false">IFERROR(INDEX(02_Parâmetros!$B$14:$B$17,MATCH(C684,02_Parâmetros!$A$14:$A$17,0)),"")</f>
        <v>1</v>
      </c>
      <c r="N684" s="2" t="str">
        <f aca="false">IF(OR(H684="",M684=""),"",IF(H684&lt;=M684,"Sim","Não"))</f>
        <v>Sim</v>
      </c>
    </row>
    <row r="685" customFormat="false" ht="15" hidden="false" customHeight="false" outlineLevel="0" collapsed="false">
      <c r="A685" s="2" t="s">
        <v>722</v>
      </c>
      <c r="B685" s="3" t="n">
        <v>46300</v>
      </c>
      <c r="C685" s="2" t="s">
        <v>44</v>
      </c>
      <c r="D685" s="2" t="s">
        <v>22</v>
      </c>
      <c r="E685" s="2" t="s">
        <v>23</v>
      </c>
      <c r="F685" s="2" t="s">
        <v>42</v>
      </c>
      <c r="G685" s="2" t="s">
        <v>19</v>
      </c>
      <c r="H685" s="2" t="n">
        <v>0.5</v>
      </c>
      <c r="I685" s="2" t="n">
        <v>8.6</v>
      </c>
      <c r="J685" s="2" t="s">
        <v>20</v>
      </c>
      <c r="K685" s="2" t="n">
        <v>3</v>
      </c>
      <c r="L685" s="3" t="n">
        <f aca="false">B685-WEEKDAY(B685,2)+1</f>
        <v>46300</v>
      </c>
      <c r="M685" s="4" t="n">
        <f aca="false">IFERROR(INDEX(02_Parâmetros!$B$14:$B$17,MATCH(C685,02_Parâmetros!$A$14:$A$17,0)),"")</f>
        <v>2</v>
      </c>
      <c r="N685" s="2" t="str">
        <f aca="false">IF(OR(H685="",M685=""),"",IF(H685&lt;=M685,"Sim","Não"))</f>
        <v>Sim</v>
      </c>
    </row>
    <row r="686" customFormat="false" ht="15" hidden="false" customHeight="false" outlineLevel="0" collapsed="false">
      <c r="A686" s="2" t="s">
        <v>723</v>
      </c>
      <c r="B686" s="3" t="n">
        <v>46300</v>
      </c>
      <c r="C686" s="2" t="s">
        <v>44</v>
      </c>
      <c r="D686" s="2" t="s">
        <v>16</v>
      </c>
      <c r="E686" s="2" t="s">
        <v>31</v>
      </c>
      <c r="F686" s="2" t="s">
        <v>42</v>
      </c>
      <c r="G686" s="2" t="s">
        <v>19</v>
      </c>
      <c r="H686" s="2" t="n">
        <v>1</v>
      </c>
      <c r="I686" s="2" t="n">
        <v>10.1</v>
      </c>
      <c r="J686" s="2" t="s">
        <v>20</v>
      </c>
      <c r="K686" s="2"/>
      <c r="L686" s="3" t="n">
        <f aca="false">B686-WEEKDAY(B686,2)+1</f>
        <v>46300</v>
      </c>
      <c r="M686" s="4" t="n">
        <f aca="false">IFERROR(INDEX(02_Parâmetros!$B$14:$B$17,MATCH(C686,02_Parâmetros!$A$14:$A$17,0)),"")</f>
        <v>2</v>
      </c>
      <c r="N686" s="2" t="str">
        <f aca="false">IF(OR(H686="",M686=""),"",IF(H686&lt;=M686,"Sim","Não"))</f>
        <v>Sim</v>
      </c>
    </row>
    <row r="687" customFormat="false" ht="15" hidden="false" customHeight="false" outlineLevel="0" collapsed="false">
      <c r="A687" s="2" t="s">
        <v>724</v>
      </c>
      <c r="B687" s="3" t="n">
        <v>46300</v>
      </c>
      <c r="C687" s="2" t="s">
        <v>27</v>
      </c>
      <c r="D687" s="2" t="s">
        <v>16</v>
      </c>
      <c r="E687" s="2" t="s">
        <v>17</v>
      </c>
      <c r="F687" s="2" t="s">
        <v>32</v>
      </c>
      <c r="G687" s="2" t="s">
        <v>19</v>
      </c>
      <c r="H687" s="2" t="n">
        <v>3.5</v>
      </c>
      <c r="I687" s="2" t="n">
        <v>5.2</v>
      </c>
      <c r="J687" s="2" t="s">
        <v>20</v>
      </c>
      <c r="K687" s="2" t="n">
        <v>4</v>
      </c>
      <c r="L687" s="3" t="n">
        <f aca="false">B687-WEEKDAY(B687,2)+1</f>
        <v>46300</v>
      </c>
      <c r="M687" s="4" t="n">
        <f aca="false">IFERROR(INDEX(02_Parâmetros!$B$14:$B$17,MATCH(C687,02_Parâmetros!$A$14:$A$17,0)),"")</f>
        <v>10</v>
      </c>
      <c r="N687" s="2" t="str">
        <f aca="false">IF(OR(H687="",M687=""),"",IF(H687&lt;=M687,"Sim","Não"))</f>
        <v>Sim</v>
      </c>
    </row>
    <row r="688" customFormat="false" ht="15" hidden="false" customHeight="false" outlineLevel="0" collapsed="false">
      <c r="A688" s="2" t="s">
        <v>725</v>
      </c>
      <c r="B688" s="3" t="n">
        <v>46300</v>
      </c>
      <c r="C688" s="2" t="s">
        <v>44</v>
      </c>
      <c r="D688" s="2" t="s">
        <v>22</v>
      </c>
      <c r="E688" s="2" t="s">
        <v>28</v>
      </c>
      <c r="F688" s="2" t="s">
        <v>18</v>
      </c>
      <c r="G688" s="2" t="s">
        <v>19</v>
      </c>
      <c r="H688" s="2" t="n">
        <v>1.9</v>
      </c>
      <c r="I688" s="2" t="n">
        <v>8.1</v>
      </c>
      <c r="J688" s="2" t="s">
        <v>20</v>
      </c>
      <c r="K688" s="2"/>
      <c r="L688" s="3" t="n">
        <f aca="false">B688-WEEKDAY(B688,2)+1</f>
        <v>46300</v>
      </c>
      <c r="M688" s="4" t="n">
        <f aca="false">IFERROR(INDEX(02_Parâmetros!$B$14:$B$17,MATCH(C688,02_Parâmetros!$A$14:$A$17,0)),"")</f>
        <v>2</v>
      </c>
      <c r="N688" s="2" t="str">
        <f aca="false">IF(OR(H688="",M688=""),"",IF(H688&lt;=M688,"Sim","Não"))</f>
        <v>Sim</v>
      </c>
    </row>
    <row r="689" customFormat="false" ht="15" hidden="false" customHeight="false" outlineLevel="0" collapsed="false">
      <c r="A689" s="2" t="s">
        <v>726</v>
      </c>
      <c r="B689" s="3" t="n">
        <v>46300</v>
      </c>
      <c r="C689" s="2" t="s">
        <v>44</v>
      </c>
      <c r="D689" s="2" t="s">
        <v>16</v>
      </c>
      <c r="E689" s="2" t="s">
        <v>36</v>
      </c>
      <c r="F689" s="2" t="s">
        <v>42</v>
      </c>
      <c r="G689" s="2" t="s">
        <v>19</v>
      </c>
      <c r="H689" s="2" t="n">
        <v>0.7</v>
      </c>
      <c r="I689" s="2" t="n">
        <v>7.3</v>
      </c>
      <c r="J689" s="2" t="s">
        <v>20</v>
      </c>
      <c r="K689" s="2"/>
      <c r="L689" s="3" t="n">
        <f aca="false">B689-WEEKDAY(B689,2)+1</f>
        <v>46300</v>
      </c>
      <c r="M689" s="4" t="n">
        <f aca="false">IFERROR(INDEX(02_Parâmetros!$B$14:$B$17,MATCH(C689,02_Parâmetros!$A$14:$A$17,0)),"")</f>
        <v>2</v>
      </c>
      <c r="N689" s="2" t="str">
        <f aca="false">IF(OR(H689="",M689=""),"",IF(H689&lt;=M689,"Sim","Não"))</f>
        <v>Sim</v>
      </c>
    </row>
    <row r="690" customFormat="false" ht="15" hidden="false" customHeight="false" outlineLevel="0" collapsed="false">
      <c r="A690" s="2" t="s">
        <v>727</v>
      </c>
      <c r="B690" s="3" t="n">
        <v>46300</v>
      </c>
      <c r="C690" s="2" t="s">
        <v>27</v>
      </c>
      <c r="D690" s="2" t="s">
        <v>16</v>
      </c>
      <c r="E690" s="2" t="s">
        <v>36</v>
      </c>
      <c r="F690" s="2" t="s">
        <v>32</v>
      </c>
      <c r="G690" s="2" t="s">
        <v>19</v>
      </c>
      <c r="H690" s="2" t="n">
        <v>8.6</v>
      </c>
      <c r="I690" s="2" t="n">
        <v>7.2</v>
      </c>
      <c r="J690" s="2" t="s">
        <v>20</v>
      </c>
      <c r="K690" s="2"/>
      <c r="L690" s="3" t="n">
        <f aca="false">B690-WEEKDAY(B690,2)+1</f>
        <v>46300</v>
      </c>
      <c r="M690" s="4" t="n">
        <f aca="false">IFERROR(INDEX(02_Parâmetros!$B$14:$B$17,MATCH(C690,02_Parâmetros!$A$14:$A$17,0)),"")</f>
        <v>10</v>
      </c>
      <c r="N690" s="2" t="str">
        <f aca="false">IF(OR(H690="",M690=""),"",IF(H690&lt;=M690,"Sim","Não"))</f>
        <v>Sim</v>
      </c>
    </row>
    <row r="691" customFormat="false" ht="15" hidden="false" customHeight="false" outlineLevel="0" collapsed="false">
      <c r="A691" s="2" t="s">
        <v>728</v>
      </c>
      <c r="B691" s="3" t="n">
        <v>46300</v>
      </c>
      <c r="C691" s="2" t="s">
        <v>41</v>
      </c>
      <c r="D691" s="2" t="s">
        <v>38</v>
      </c>
      <c r="E691" s="2" t="s">
        <v>39</v>
      </c>
      <c r="F691" s="2" t="s">
        <v>18</v>
      </c>
      <c r="G691" s="2" t="s">
        <v>19</v>
      </c>
      <c r="H691" s="2" t="n">
        <v>180.6</v>
      </c>
      <c r="I691" s="2" t="n">
        <v>6.9</v>
      </c>
      <c r="J691" s="2" t="s">
        <v>20</v>
      </c>
      <c r="K691" s="2"/>
      <c r="L691" s="3" t="n">
        <f aca="false">B691-WEEKDAY(B691,2)+1</f>
        <v>46300</v>
      </c>
      <c r="M691" s="4" t="n">
        <f aca="false">IFERROR(INDEX(02_Parâmetros!$B$14:$B$17,MATCH(C691,02_Parâmetros!$A$14:$A$17,0)),"")</f>
        <v>240</v>
      </c>
      <c r="N691" s="2" t="str">
        <f aca="false">IF(OR(H691="",M691=""),"",IF(H691&lt;=M691,"Sim","Não"))</f>
        <v>Sim</v>
      </c>
    </row>
    <row r="692" customFormat="false" ht="15" hidden="false" customHeight="false" outlineLevel="0" collapsed="false">
      <c r="A692" s="2" t="s">
        <v>729</v>
      </c>
      <c r="B692" s="3" t="n">
        <v>46300</v>
      </c>
      <c r="C692" s="2" t="s">
        <v>41</v>
      </c>
      <c r="D692" s="2" t="s">
        <v>22</v>
      </c>
      <c r="E692" s="2" t="s">
        <v>23</v>
      </c>
      <c r="F692" s="2" t="s">
        <v>32</v>
      </c>
      <c r="G692" s="2" t="s">
        <v>19</v>
      </c>
      <c r="H692" s="2" t="n">
        <v>163</v>
      </c>
      <c r="I692" s="2" t="n">
        <v>9.7</v>
      </c>
      <c r="J692" s="2" t="s">
        <v>20</v>
      </c>
      <c r="K692" s="2"/>
      <c r="L692" s="3" t="n">
        <f aca="false">B692-WEEKDAY(B692,2)+1</f>
        <v>46300</v>
      </c>
      <c r="M692" s="4" t="n">
        <f aca="false">IFERROR(INDEX(02_Parâmetros!$B$14:$B$17,MATCH(C692,02_Parâmetros!$A$14:$A$17,0)),"")</f>
        <v>240</v>
      </c>
      <c r="N692" s="2" t="str">
        <f aca="false">IF(OR(H692="",M692=""),"",IF(H692&lt;=M692,"Sim","Não"))</f>
        <v>Sim</v>
      </c>
    </row>
    <row r="693" customFormat="false" ht="15" hidden="false" customHeight="false" outlineLevel="0" collapsed="false">
      <c r="A693" s="2" t="s">
        <v>730</v>
      </c>
      <c r="B693" s="3" t="n">
        <v>46300</v>
      </c>
      <c r="C693" s="2" t="s">
        <v>44</v>
      </c>
      <c r="D693" s="2" t="s">
        <v>38</v>
      </c>
      <c r="E693" s="2" t="s">
        <v>47</v>
      </c>
      <c r="F693" s="2" t="s">
        <v>18</v>
      </c>
      <c r="G693" s="2" t="s">
        <v>19</v>
      </c>
      <c r="H693" s="2" t="n">
        <v>0.8</v>
      </c>
      <c r="I693" s="2" t="n">
        <v>9.4</v>
      </c>
      <c r="J693" s="2" t="s">
        <v>25</v>
      </c>
      <c r="K693" s="2" t="n">
        <v>2</v>
      </c>
      <c r="L693" s="3" t="n">
        <f aca="false">B693-WEEKDAY(B693,2)+1</f>
        <v>46300</v>
      </c>
      <c r="M693" s="4" t="n">
        <f aca="false">IFERROR(INDEX(02_Parâmetros!$B$14:$B$17,MATCH(C693,02_Parâmetros!$A$14:$A$17,0)),"")</f>
        <v>2</v>
      </c>
      <c r="N693" s="2" t="str">
        <f aca="false">IF(OR(H693="",M693=""),"",IF(H693&lt;=M693,"Sim","Não"))</f>
        <v>Sim</v>
      </c>
    </row>
    <row r="694" customFormat="false" ht="15" hidden="false" customHeight="false" outlineLevel="0" collapsed="false">
      <c r="A694" s="2" t="s">
        <v>731</v>
      </c>
      <c r="B694" s="3" t="n">
        <v>46300</v>
      </c>
      <c r="C694" s="2" t="s">
        <v>15</v>
      </c>
      <c r="D694" s="2" t="s">
        <v>38</v>
      </c>
      <c r="E694" s="2" t="s">
        <v>47</v>
      </c>
      <c r="F694" s="2" t="s">
        <v>70</v>
      </c>
      <c r="G694" s="2" t="s">
        <v>19</v>
      </c>
      <c r="H694" s="2" t="n">
        <v>0.3</v>
      </c>
      <c r="I694" s="2" t="n">
        <v>14</v>
      </c>
      <c r="J694" s="2" t="s">
        <v>20</v>
      </c>
      <c r="K694" s="2" t="n">
        <v>5</v>
      </c>
      <c r="L694" s="3" t="n">
        <f aca="false">B694-WEEKDAY(B694,2)+1</f>
        <v>46300</v>
      </c>
      <c r="M694" s="4" t="n">
        <f aca="false">IFERROR(INDEX(02_Parâmetros!$B$14:$B$17,MATCH(C694,02_Parâmetros!$A$14:$A$17,0)),"")</f>
        <v>1</v>
      </c>
      <c r="N694" s="2" t="str">
        <f aca="false">IF(OR(H694="",M694=""),"",IF(H694&lt;=M694,"Sim","Não"))</f>
        <v>Sim</v>
      </c>
    </row>
    <row r="695" customFormat="false" ht="15" hidden="false" customHeight="false" outlineLevel="0" collapsed="false">
      <c r="A695" s="2" t="s">
        <v>732</v>
      </c>
      <c r="B695" s="3" t="n">
        <v>46300</v>
      </c>
      <c r="C695" s="2" t="s">
        <v>27</v>
      </c>
      <c r="D695" s="2" t="s">
        <v>22</v>
      </c>
      <c r="E695" s="2" t="s">
        <v>23</v>
      </c>
      <c r="F695" s="2" t="s">
        <v>34</v>
      </c>
      <c r="G695" s="2" t="s">
        <v>19</v>
      </c>
      <c r="H695" s="2" t="n">
        <v>6.5</v>
      </c>
      <c r="I695" s="2" t="n">
        <v>6.1</v>
      </c>
      <c r="J695" s="2" t="s">
        <v>20</v>
      </c>
      <c r="K695" s="2"/>
      <c r="L695" s="3" t="n">
        <f aca="false">B695-WEEKDAY(B695,2)+1</f>
        <v>46300</v>
      </c>
      <c r="M695" s="4" t="n">
        <f aca="false">IFERROR(INDEX(02_Parâmetros!$B$14:$B$17,MATCH(C695,02_Parâmetros!$A$14:$A$17,0)),"")</f>
        <v>10</v>
      </c>
      <c r="N695" s="2" t="str">
        <f aca="false">IF(OR(H695="",M695=""),"",IF(H695&lt;=M695,"Sim","Não"))</f>
        <v>Sim</v>
      </c>
    </row>
    <row r="696" customFormat="false" ht="15" hidden="false" customHeight="false" outlineLevel="0" collapsed="false">
      <c r="A696" s="2" t="s">
        <v>733</v>
      </c>
      <c r="B696" s="3" t="n">
        <v>46300</v>
      </c>
      <c r="C696" s="2" t="s">
        <v>27</v>
      </c>
      <c r="D696" s="2" t="s">
        <v>38</v>
      </c>
      <c r="E696" s="2" t="s">
        <v>56</v>
      </c>
      <c r="F696" s="2" t="s">
        <v>32</v>
      </c>
      <c r="G696" s="2" t="s">
        <v>19</v>
      </c>
      <c r="H696" s="2" t="n">
        <v>4.7</v>
      </c>
      <c r="I696" s="2" t="n">
        <v>6.2</v>
      </c>
      <c r="J696" s="2" t="s">
        <v>20</v>
      </c>
      <c r="K696" s="2"/>
      <c r="L696" s="3" t="n">
        <f aca="false">B696-WEEKDAY(B696,2)+1</f>
        <v>46300</v>
      </c>
      <c r="M696" s="4" t="n">
        <f aca="false">IFERROR(INDEX(02_Parâmetros!$B$14:$B$17,MATCH(C696,02_Parâmetros!$A$14:$A$17,0)),"")</f>
        <v>10</v>
      </c>
      <c r="N696" s="2" t="str">
        <f aca="false">IF(OR(H696="",M696=""),"",IF(H696&lt;=M696,"Sim","Não"))</f>
        <v>Sim</v>
      </c>
    </row>
    <row r="697" customFormat="false" ht="15" hidden="false" customHeight="false" outlineLevel="0" collapsed="false">
      <c r="A697" s="2" t="s">
        <v>734</v>
      </c>
      <c r="B697" s="3" t="n">
        <v>46300</v>
      </c>
      <c r="C697" s="2" t="s">
        <v>44</v>
      </c>
      <c r="D697" s="2" t="s">
        <v>38</v>
      </c>
      <c r="E697" s="2" t="s">
        <v>39</v>
      </c>
      <c r="F697" s="2" t="s">
        <v>24</v>
      </c>
      <c r="G697" s="2" t="s">
        <v>19</v>
      </c>
      <c r="H697" s="2" t="n">
        <v>1.4</v>
      </c>
      <c r="I697" s="2" t="n">
        <v>4.9</v>
      </c>
      <c r="J697" s="2" t="s">
        <v>20</v>
      </c>
      <c r="K697" s="2" t="n">
        <v>5</v>
      </c>
      <c r="L697" s="3" t="n">
        <f aca="false">B697-WEEKDAY(B697,2)+1</f>
        <v>46300</v>
      </c>
      <c r="M697" s="4" t="n">
        <f aca="false">IFERROR(INDEX(02_Parâmetros!$B$14:$B$17,MATCH(C697,02_Parâmetros!$A$14:$A$17,0)),"")</f>
        <v>2</v>
      </c>
      <c r="N697" s="2" t="str">
        <f aca="false">IF(OR(H697="",M697=""),"",IF(H697&lt;=M697,"Sim","Não"))</f>
        <v>Sim</v>
      </c>
    </row>
    <row r="698" customFormat="false" ht="15" hidden="false" customHeight="false" outlineLevel="0" collapsed="false">
      <c r="A698" s="2" t="s">
        <v>735</v>
      </c>
      <c r="B698" s="3" t="n">
        <v>46300</v>
      </c>
      <c r="C698" s="2" t="s">
        <v>27</v>
      </c>
      <c r="D698" s="2" t="s">
        <v>16</v>
      </c>
      <c r="E698" s="2" t="s">
        <v>31</v>
      </c>
      <c r="F698" s="2" t="s">
        <v>32</v>
      </c>
      <c r="G698" s="2" t="s">
        <v>19</v>
      </c>
      <c r="H698" s="2" t="n">
        <v>8.8</v>
      </c>
      <c r="I698" s="2" t="n">
        <v>7.5</v>
      </c>
      <c r="J698" s="2" t="s">
        <v>25</v>
      </c>
      <c r="K698" s="2"/>
      <c r="L698" s="3" t="n">
        <f aca="false">B698-WEEKDAY(B698,2)+1</f>
        <v>46300</v>
      </c>
      <c r="M698" s="4" t="n">
        <f aca="false">IFERROR(INDEX(02_Parâmetros!$B$14:$B$17,MATCH(C698,02_Parâmetros!$A$14:$A$17,0)),"")</f>
        <v>10</v>
      </c>
      <c r="N698" s="2" t="str">
        <f aca="false">IF(OR(H698="",M698=""),"",IF(H698&lt;=M698,"Sim","Não"))</f>
        <v>Sim</v>
      </c>
    </row>
    <row r="699" customFormat="false" ht="15" hidden="false" customHeight="false" outlineLevel="0" collapsed="false">
      <c r="A699" s="2" t="s">
        <v>736</v>
      </c>
      <c r="B699" s="3" t="n">
        <v>46300</v>
      </c>
      <c r="C699" s="2" t="s">
        <v>27</v>
      </c>
      <c r="D699" s="2" t="s">
        <v>22</v>
      </c>
      <c r="E699" s="2" t="s">
        <v>28</v>
      </c>
      <c r="F699" s="2" t="s">
        <v>42</v>
      </c>
      <c r="G699" s="2" t="s">
        <v>19</v>
      </c>
      <c r="H699" s="2" t="n">
        <v>4.9</v>
      </c>
      <c r="I699" s="2" t="n">
        <v>7.6</v>
      </c>
      <c r="J699" s="2" t="s">
        <v>20</v>
      </c>
      <c r="K699" s="2"/>
      <c r="L699" s="3" t="n">
        <f aca="false">B699-WEEKDAY(B699,2)+1</f>
        <v>46300</v>
      </c>
      <c r="M699" s="4" t="n">
        <f aca="false">IFERROR(INDEX(02_Parâmetros!$B$14:$B$17,MATCH(C699,02_Parâmetros!$A$14:$A$17,0)),"")</f>
        <v>10</v>
      </c>
      <c r="N699" s="2" t="str">
        <f aca="false">IF(OR(H699="",M699=""),"",IF(H699&lt;=M699,"Sim","Não"))</f>
        <v>Sim</v>
      </c>
    </row>
    <row r="700" customFormat="false" ht="15" hidden="false" customHeight="false" outlineLevel="0" collapsed="false">
      <c r="A700" s="2" t="s">
        <v>737</v>
      </c>
      <c r="B700" s="3" t="n">
        <v>46301</v>
      </c>
      <c r="C700" s="2" t="s">
        <v>15</v>
      </c>
      <c r="D700" s="2" t="s">
        <v>22</v>
      </c>
      <c r="E700" s="2" t="s">
        <v>23</v>
      </c>
      <c r="F700" s="2" t="s">
        <v>42</v>
      </c>
      <c r="G700" s="2" t="s">
        <v>19</v>
      </c>
      <c r="H700" s="2" t="n">
        <v>0.5</v>
      </c>
      <c r="I700" s="2" t="n">
        <v>8.5</v>
      </c>
      <c r="J700" s="2" t="s">
        <v>20</v>
      </c>
      <c r="K700" s="2"/>
      <c r="L700" s="3" t="n">
        <f aca="false">B700-WEEKDAY(B700,2)+1</f>
        <v>46300</v>
      </c>
      <c r="M700" s="4" t="n">
        <f aca="false">IFERROR(INDEX(02_Parâmetros!$B$14:$B$17,MATCH(C700,02_Parâmetros!$A$14:$A$17,0)),"")</f>
        <v>1</v>
      </c>
      <c r="N700" s="2" t="str">
        <f aca="false">IF(OR(H700="",M700=""),"",IF(H700&lt;=M700,"Sim","Não"))</f>
        <v>Sim</v>
      </c>
    </row>
    <row r="701" customFormat="false" ht="15" hidden="false" customHeight="false" outlineLevel="0" collapsed="false">
      <c r="A701" s="2" t="s">
        <v>738</v>
      </c>
      <c r="B701" s="3" t="n">
        <v>46301</v>
      </c>
      <c r="C701" s="2" t="s">
        <v>27</v>
      </c>
      <c r="D701" s="2" t="s">
        <v>22</v>
      </c>
      <c r="E701" s="2" t="s">
        <v>23</v>
      </c>
      <c r="F701" s="2" t="s">
        <v>18</v>
      </c>
      <c r="G701" s="2" t="s">
        <v>19</v>
      </c>
      <c r="H701" s="2" t="n">
        <v>7.2</v>
      </c>
      <c r="I701" s="2" t="n">
        <v>10.4</v>
      </c>
      <c r="J701" s="2" t="s">
        <v>20</v>
      </c>
      <c r="K701" s="2"/>
      <c r="L701" s="3" t="n">
        <f aca="false">B701-WEEKDAY(B701,2)+1</f>
        <v>46300</v>
      </c>
      <c r="M701" s="4" t="n">
        <f aca="false">IFERROR(INDEX(02_Parâmetros!$B$14:$B$17,MATCH(C701,02_Parâmetros!$A$14:$A$17,0)),"")</f>
        <v>10</v>
      </c>
      <c r="N701" s="2" t="str">
        <f aca="false">IF(OR(H701="",M701=""),"",IF(H701&lt;=M701,"Sim","Não"))</f>
        <v>Sim</v>
      </c>
    </row>
    <row r="702" customFormat="false" ht="15" hidden="false" customHeight="false" outlineLevel="0" collapsed="false">
      <c r="A702" s="2" t="s">
        <v>739</v>
      </c>
      <c r="B702" s="3" t="n">
        <v>46301</v>
      </c>
      <c r="C702" s="2" t="s">
        <v>41</v>
      </c>
      <c r="D702" s="2" t="s">
        <v>38</v>
      </c>
      <c r="E702" s="2" t="s">
        <v>56</v>
      </c>
      <c r="F702" s="2" t="s">
        <v>34</v>
      </c>
      <c r="G702" s="2" t="s">
        <v>19</v>
      </c>
      <c r="H702" s="2" t="n">
        <v>218.1</v>
      </c>
      <c r="I702" s="2" t="n">
        <v>5.3</v>
      </c>
      <c r="J702" s="2" t="s">
        <v>20</v>
      </c>
      <c r="K702" s="2" t="n">
        <v>5</v>
      </c>
      <c r="L702" s="3" t="n">
        <f aca="false">B702-WEEKDAY(B702,2)+1</f>
        <v>46300</v>
      </c>
      <c r="M702" s="4" t="n">
        <f aca="false">IFERROR(INDEX(02_Parâmetros!$B$14:$B$17,MATCH(C702,02_Parâmetros!$A$14:$A$17,0)),"")</f>
        <v>240</v>
      </c>
      <c r="N702" s="2" t="str">
        <f aca="false">IF(OR(H702="",M702=""),"",IF(H702&lt;=M702,"Sim","Não"))</f>
        <v>Sim</v>
      </c>
    </row>
    <row r="703" customFormat="false" ht="15" hidden="false" customHeight="false" outlineLevel="0" collapsed="false">
      <c r="A703" s="2" t="s">
        <v>740</v>
      </c>
      <c r="B703" s="3" t="n">
        <v>46301</v>
      </c>
      <c r="C703" s="2" t="s">
        <v>44</v>
      </c>
      <c r="D703" s="2" t="s">
        <v>16</v>
      </c>
      <c r="E703" s="2" t="s">
        <v>17</v>
      </c>
      <c r="F703" s="2" t="s">
        <v>24</v>
      </c>
      <c r="G703" s="2" t="s">
        <v>19</v>
      </c>
      <c r="H703" s="2" t="n">
        <v>1.7</v>
      </c>
      <c r="I703" s="2" t="n">
        <v>7.9</v>
      </c>
      <c r="J703" s="2" t="s">
        <v>20</v>
      </c>
      <c r="K703" s="2"/>
      <c r="L703" s="3" t="n">
        <f aca="false">B703-WEEKDAY(B703,2)+1</f>
        <v>46300</v>
      </c>
      <c r="M703" s="4" t="n">
        <f aca="false">IFERROR(INDEX(02_Parâmetros!$B$14:$B$17,MATCH(C703,02_Parâmetros!$A$14:$A$17,0)),"")</f>
        <v>2</v>
      </c>
      <c r="N703" s="2" t="str">
        <f aca="false">IF(OR(H703="",M703=""),"",IF(H703&lt;=M703,"Sim","Não"))</f>
        <v>Sim</v>
      </c>
    </row>
    <row r="704" customFormat="false" ht="15" hidden="false" customHeight="false" outlineLevel="0" collapsed="false">
      <c r="A704" s="2" t="s">
        <v>741</v>
      </c>
      <c r="B704" s="3" t="n">
        <v>46301</v>
      </c>
      <c r="C704" s="2" t="s">
        <v>27</v>
      </c>
      <c r="D704" s="2" t="s">
        <v>22</v>
      </c>
      <c r="E704" s="2" t="s">
        <v>28</v>
      </c>
      <c r="F704" s="2" t="s">
        <v>70</v>
      </c>
      <c r="G704" s="2" t="s">
        <v>19</v>
      </c>
      <c r="H704" s="2" t="n">
        <v>3.4</v>
      </c>
      <c r="I704" s="2" t="n">
        <v>8</v>
      </c>
      <c r="J704" s="2" t="s">
        <v>20</v>
      </c>
      <c r="K704" s="2" t="n">
        <v>5</v>
      </c>
      <c r="L704" s="3" t="n">
        <f aca="false">B704-WEEKDAY(B704,2)+1</f>
        <v>46300</v>
      </c>
      <c r="M704" s="4" t="n">
        <f aca="false">IFERROR(INDEX(02_Parâmetros!$B$14:$B$17,MATCH(C704,02_Parâmetros!$A$14:$A$17,0)),"")</f>
        <v>10</v>
      </c>
      <c r="N704" s="2" t="str">
        <f aca="false">IF(OR(H704="",M704=""),"",IF(H704&lt;=M704,"Sim","Não"))</f>
        <v>Sim</v>
      </c>
    </row>
    <row r="705" customFormat="false" ht="15" hidden="false" customHeight="false" outlineLevel="0" collapsed="false">
      <c r="A705" s="2" t="s">
        <v>742</v>
      </c>
      <c r="B705" s="3" t="n">
        <v>46301</v>
      </c>
      <c r="C705" s="2" t="s">
        <v>27</v>
      </c>
      <c r="D705" s="2" t="s">
        <v>16</v>
      </c>
      <c r="E705" s="2" t="s">
        <v>31</v>
      </c>
      <c r="F705" s="2" t="s">
        <v>70</v>
      </c>
      <c r="G705" s="2" t="s">
        <v>19</v>
      </c>
      <c r="H705" s="2"/>
      <c r="I705" s="2" t="n">
        <v>8.2</v>
      </c>
      <c r="J705" s="2" t="s">
        <v>20</v>
      </c>
      <c r="K705" s="2"/>
      <c r="L705" s="3" t="n">
        <f aca="false">B705-WEEKDAY(B705,2)+1</f>
        <v>46300</v>
      </c>
      <c r="M705" s="4" t="n">
        <f aca="false">IFERROR(INDEX(02_Parâmetros!$B$14:$B$17,MATCH(C705,02_Parâmetros!$A$14:$A$17,0)),"")</f>
        <v>10</v>
      </c>
      <c r="N705" s="2" t="str">
        <f aca="false">IF(OR(H705="",M705=""),"",IF(H705&lt;=M705,"Sim","Não"))</f>
        <v/>
      </c>
    </row>
    <row r="706" customFormat="false" ht="15" hidden="false" customHeight="false" outlineLevel="0" collapsed="false">
      <c r="A706" s="2" t="s">
        <v>743</v>
      </c>
      <c r="B706" s="3" t="n">
        <v>46301</v>
      </c>
      <c r="C706" s="2" t="s">
        <v>15</v>
      </c>
      <c r="D706" s="2" t="s">
        <v>22</v>
      </c>
      <c r="E706" s="2" t="s">
        <v>23</v>
      </c>
      <c r="F706" s="2" t="s">
        <v>18</v>
      </c>
      <c r="G706" s="2" t="s">
        <v>19</v>
      </c>
      <c r="H706" s="2" t="n">
        <v>0.3</v>
      </c>
      <c r="I706" s="2" t="n">
        <v>17.8</v>
      </c>
      <c r="J706" s="2" t="s">
        <v>25</v>
      </c>
      <c r="K706" s="2" t="n">
        <v>3</v>
      </c>
      <c r="L706" s="3" t="n">
        <f aca="false">B706-WEEKDAY(B706,2)+1</f>
        <v>46300</v>
      </c>
      <c r="M706" s="4" t="n">
        <f aca="false">IFERROR(INDEX(02_Parâmetros!$B$14:$B$17,MATCH(C706,02_Parâmetros!$A$14:$A$17,0)),"")</f>
        <v>1</v>
      </c>
      <c r="N706" s="2" t="str">
        <f aca="false">IF(OR(H706="",M706=""),"",IF(H706&lt;=M706,"Sim","Não"))</f>
        <v>Sim</v>
      </c>
    </row>
    <row r="707" customFormat="false" ht="15" hidden="false" customHeight="false" outlineLevel="0" collapsed="false">
      <c r="A707" s="2" t="s">
        <v>744</v>
      </c>
      <c r="B707" s="3" t="n">
        <v>46301</v>
      </c>
      <c r="C707" s="2" t="s">
        <v>41</v>
      </c>
      <c r="D707" s="2" t="s">
        <v>22</v>
      </c>
      <c r="E707" s="2" t="s">
        <v>23</v>
      </c>
      <c r="F707" s="2" t="s">
        <v>32</v>
      </c>
      <c r="G707" s="2" t="s">
        <v>19</v>
      </c>
      <c r="H707" s="2" t="n">
        <v>116.9</v>
      </c>
      <c r="I707" s="2" t="n">
        <v>8.2</v>
      </c>
      <c r="J707" s="2" t="s">
        <v>20</v>
      </c>
      <c r="K707" s="2"/>
      <c r="L707" s="3" t="n">
        <f aca="false">B707-WEEKDAY(B707,2)+1</f>
        <v>46300</v>
      </c>
      <c r="M707" s="4" t="n">
        <f aca="false">IFERROR(INDEX(02_Parâmetros!$B$14:$B$17,MATCH(C707,02_Parâmetros!$A$14:$A$17,0)),"")</f>
        <v>240</v>
      </c>
      <c r="N707" s="2" t="str">
        <f aca="false">IF(OR(H707="",M707=""),"",IF(H707&lt;=M707,"Sim","Não"))</f>
        <v>Sim</v>
      </c>
    </row>
    <row r="708" customFormat="false" ht="15" hidden="false" customHeight="false" outlineLevel="0" collapsed="false">
      <c r="A708" s="2" t="s">
        <v>745</v>
      </c>
      <c r="B708" s="3" t="n">
        <v>46301</v>
      </c>
      <c r="C708" s="2" t="s">
        <v>41</v>
      </c>
      <c r="D708" s="2" t="s">
        <v>22</v>
      </c>
      <c r="E708" s="2" t="s">
        <v>28</v>
      </c>
      <c r="F708" s="2" t="s">
        <v>42</v>
      </c>
      <c r="G708" s="2" t="s">
        <v>19</v>
      </c>
      <c r="H708" s="2" t="n">
        <v>157</v>
      </c>
      <c r="I708" s="2" t="n">
        <v>11.9</v>
      </c>
      <c r="J708" s="2" t="s">
        <v>25</v>
      </c>
      <c r="K708" s="2"/>
      <c r="L708" s="3" t="n">
        <f aca="false">B708-WEEKDAY(B708,2)+1</f>
        <v>46300</v>
      </c>
      <c r="M708" s="4" t="n">
        <f aca="false">IFERROR(INDEX(02_Parâmetros!$B$14:$B$17,MATCH(C708,02_Parâmetros!$A$14:$A$17,0)),"")</f>
        <v>240</v>
      </c>
      <c r="N708" s="2" t="str">
        <f aca="false">IF(OR(H708="",M708=""),"",IF(H708&lt;=M708,"Sim","Não"))</f>
        <v>Sim</v>
      </c>
    </row>
    <row r="709" customFormat="false" ht="15" hidden="false" customHeight="false" outlineLevel="0" collapsed="false">
      <c r="A709" s="2" t="s">
        <v>746</v>
      </c>
      <c r="B709" s="3" t="n">
        <v>46301</v>
      </c>
      <c r="C709" s="2" t="s">
        <v>27</v>
      </c>
      <c r="D709" s="2" t="s">
        <v>16</v>
      </c>
      <c r="E709" s="2" t="s">
        <v>17</v>
      </c>
      <c r="F709" s="2" t="s">
        <v>42</v>
      </c>
      <c r="G709" s="2" t="s">
        <v>19</v>
      </c>
      <c r="H709" s="2" t="n">
        <v>28.1</v>
      </c>
      <c r="I709" s="2" t="n">
        <v>6.1</v>
      </c>
      <c r="J709" s="2" t="s">
        <v>20</v>
      </c>
      <c r="K709" s="2"/>
      <c r="L709" s="3" t="n">
        <f aca="false">B709-WEEKDAY(B709,2)+1</f>
        <v>46300</v>
      </c>
      <c r="M709" s="4" t="n">
        <f aca="false">IFERROR(INDEX(02_Parâmetros!$B$14:$B$17,MATCH(C709,02_Parâmetros!$A$14:$A$17,0)),"")</f>
        <v>10</v>
      </c>
      <c r="N709" s="2" t="str">
        <f aca="false">IF(OR(H709="",M709=""),"",IF(H709&lt;=M709,"Sim","Não"))</f>
        <v>Não</v>
      </c>
    </row>
    <row r="710" customFormat="false" ht="15" hidden="false" customHeight="false" outlineLevel="0" collapsed="false">
      <c r="A710" s="2" t="s">
        <v>747</v>
      </c>
      <c r="B710" s="3" t="n">
        <v>46301</v>
      </c>
      <c r="C710" s="2" t="s">
        <v>27</v>
      </c>
      <c r="D710" s="2" t="s">
        <v>38</v>
      </c>
      <c r="E710" s="2" t="s">
        <v>47</v>
      </c>
      <c r="F710" s="2" t="s">
        <v>18</v>
      </c>
      <c r="G710" s="2" t="s">
        <v>19</v>
      </c>
      <c r="H710" s="2" t="n">
        <v>7.5</v>
      </c>
      <c r="I710" s="2" t="n">
        <v>9.9</v>
      </c>
      <c r="J710" s="2" t="s">
        <v>25</v>
      </c>
      <c r="K710" s="2"/>
      <c r="L710" s="3" t="n">
        <f aca="false">B710-WEEKDAY(B710,2)+1</f>
        <v>46300</v>
      </c>
      <c r="M710" s="4" t="n">
        <f aca="false">IFERROR(INDEX(02_Parâmetros!$B$14:$B$17,MATCH(C710,02_Parâmetros!$A$14:$A$17,0)),"")</f>
        <v>10</v>
      </c>
      <c r="N710" s="2" t="str">
        <f aca="false">IF(OR(H710="",M710=""),"",IF(H710&lt;=M710,"Sim","Não"))</f>
        <v>Sim</v>
      </c>
    </row>
    <row r="711" customFormat="false" ht="15" hidden="false" customHeight="false" outlineLevel="0" collapsed="false">
      <c r="A711" s="2" t="s">
        <v>748</v>
      </c>
      <c r="B711" s="3" t="n">
        <v>46301</v>
      </c>
      <c r="C711" s="2" t="s">
        <v>44</v>
      </c>
      <c r="D711" s="2" t="s">
        <v>16</v>
      </c>
      <c r="E711" s="2" t="s">
        <v>17</v>
      </c>
      <c r="F711" s="2" t="s">
        <v>18</v>
      </c>
      <c r="G711" s="2" t="s">
        <v>19</v>
      </c>
      <c r="H711" s="2" t="n">
        <v>1.1</v>
      </c>
      <c r="I711" s="2" t="n">
        <v>6.3</v>
      </c>
      <c r="J711" s="2" t="s">
        <v>20</v>
      </c>
      <c r="K711" s="2"/>
      <c r="L711" s="3" t="n">
        <f aca="false">B711-WEEKDAY(B711,2)+1</f>
        <v>46300</v>
      </c>
      <c r="M711" s="4" t="n">
        <f aca="false">IFERROR(INDEX(02_Parâmetros!$B$14:$B$17,MATCH(C711,02_Parâmetros!$A$14:$A$17,0)),"")</f>
        <v>2</v>
      </c>
      <c r="N711" s="2" t="str">
        <f aca="false">IF(OR(H711="",M711=""),"",IF(H711&lt;=M711,"Sim","Não"))</f>
        <v>Sim</v>
      </c>
    </row>
    <row r="712" customFormat="false" ht="15" hidden="false" customHeight="false" outlineLevel="0" collapsed="false">
      <c r="A712" s="2" t="s">
        <v>749</v>
      </c>
      <c r="B712" s="3" t="n">
        <v>46301</v>
      </c>
      <c r="C712" s="2" t="s">
        <v>15</v>
      </c>
      <c r="D712" s="2" t="s">
        <v>38</v>
      </c>
      <c r="E712" s="2" t="s">
        <v>39</v>
      </c>
      <c r="F712" s="2" t="s">
        <v>18</v>
      </c>
      <c r="G712" s="2" t="s">
        <v>19</v>
      </c>
      <c r="H712" s="2" t="n">
        <v>0.5</v>
      </c>
      <c r="I712" s="2" t="n">
        <v>11.3</v>
      </c>
      <c r="J712" s="2" t="s">
        <v>20</v>
      </c>
      <c r="K712" s="2" t="n">
        <v>4</v>
      </c>
      <c r="L712" s="3" t="n">
        <f aca="false">B712-WEEKDAY(B712,2)+1</f>
        <v>46300</v>
      </c>
      <c r="M712" s="4" t="n">
        <f aca="false">IFERROR(INDEX(02_Parâmetros!$B$14:$B$17,MATCH(C712,02_Parâmetros!$A$14:$A$17,0)),"")</f>
        <v>1</v>
      </c>
      <c r="N712" s="2" t="str">
        <f aca="false">IF(OR(H712="",M712=""),"",IF(H712&lt;=M712,"Sim","Não"))</f>
        <v>Sim</v>
      </c>
    </row>
    <row r="713" customFormat="false" ht="15" hidden="false" customHeight="false" outlineLevel="0" collapsed="false">
      <c r="A713" s="2" t="s">
        <v>750</v>
      </c>
      <c r="B713" s="3" t="n">
        <v>46301</v>
      </c>
      <c r="C713" s="2" t="s">
        <v>27</v>
      </c>
      <c r="D713" s="2" t="s">
        <v>38</v>
      </c>
      <c r="E713" s="2" t="s">
        <v>47</v>
      </c>
      <c r="F713" s="2" t="s">
        <v>32</v>
      </c>
      <c r="G713" s="2" t="s">
        <v>19</v>
      </c>
      <c r="H713" s="2" t="n">
        <v>6.2</v>
      </c>
      <c r="I713" s="2" t="n">
        <v>7.4</v>
      </c>
      <c r="J713" s="2" t="s">
        <v>20</v>
      </c>
      <c r="K713" s="2"/>
      <c r="L713" s="3" t="n">
        <f aca="false">B713-WEEKDAY(B713,2)+1</f>
        <v>46300</v>
      </c>
      <c r="M713" s="4" t="n">
        <f aca="false">IFERROR(INDEX(02_Parâmetros!$B$14:$B$17,MATCH(C713,02_Parâmetros!$A$14:$A$17,0)),"")</f>
        <v>10</v>
      </c>
      <c r="N713" s="2" t="str">
        <f aca="false">IF(OR(H713="",M713=""),"",IF(H713&lt;=M713,"Sim","Não"))</f>
        <v>Sim</v>
      </c>
    </row>
    <row r="714" customFormat="false" ht="15" hidden="false" customHeight="false" outlineLevel="0" collapsed="false">
      <c r="A714" s="2" t="s">
        <v>751</v>
      </c>
      <c r="B714" s="3" t="n">
        <v>46301</v>
      </c>
      <c r="C714" s="2" t="s">
        <v>41</v>
      </c>
      <c r="D714" s="2" t="s">
        <v>16</v>
      </c>
      <c r="E714" s="2" t="s">
        <v>17</v>
      </c>
      <c r="F714" s="2" t="s">
        <v>18</v>
      </c>
      <c r="G714" s="2" t="s">
        <v>19</v>
      </c>
      <c r="H714" s="2" t="n">
        <v>137.2</v>
      </c>
      <c r="I714" s="2" t="n">
        <v>12.7</v>
      </c>
      <c r="J714" s="2" t="s">
        <v>25</v>
      </c>
      <c r="K714" s="2"/>
      <c r="L714" s="3" t="n">
        <f aca="false">B714-WEEKDAY(B714,2)+1</f>
        <v>46300</v>
      </c>
      <c r="M714" s="4" t="n">
        <f aca="false">IFERROR(INDEX(02_Parâmetros!$B$14:$B$17,MATCH(C714,02_Parâmetros!$A$14:$A$17,0)),"")</f>
        <v>240</v>
      </c>
      <c r="N714" s="2" t="str">
        <f aca="false">IF(OR(H714="",M714=""),"",IF(H714&lt;=M714,"Sim","Não"))</f>
        <v>Sim</v>
      </c>
    </row>
    <row r="715" customFormat="false" ht="15" hidden="false" customHeight="false" outlineLevel="0" collapsed="false">
      <c r="A715" s="2" t="s">
        <v>752</v>
      </c>
      <c r="B715" s="3" t="n">
        <v>46301</v>
      </c>
      <c r="C715" s="2" t="s">
        <v>44</v>
      </c>
      <c r="D715" s="2" t="s">
        <v>22</v>
      </c>
      <c r="E715" s="2" t="s">
        <v>23</v>
      </c>
      <c r="F715" s="2" t="s">
        <v>24</v>
      </c>
      <c r="G715" s="2" t="s">
        <v>19</v>
      </c>
      <c r="H715" s="2" t="n">
        <v>1.1</v>
      </c>
      <c r="I715" s="2" t="n">
        <v>8.4</v>
      </c>
      <c r="J715" s="2" t="s">
        <v>20</v>
      </c>
      <c r="K715" s="2"/>
      <c r="L715" s="3" t="n">
        <f aca="false">B715-WEEKDAY(B715,2)+1</f>
        <v>46300</v>
      </c>
      <c r="M715" s="4" t="n">
        <f aca="false">IFERROR(INDEX(02_Parâmetros!$B$14:$B$17,MATCH(C715,02_Parâmetros!$A$14:$A$17,0)),"")</f>
        <v>2</v>
      </c>
      <c r="N715" s="2" t="str">
        <f aca="false">IF(OR(H715="",M715=""),"",IF(H715&lt;=M715,"Sim","Não"))</f>
        <v>Sim</v>
      </c>
    </row>
    <row r="716" customFormat="false" ht="15" hidden="false" customHeight="false" outlineLevel="0" collapsed="false">
      <c r="A716" s="2" t="s">
        <v>753</v>
      </c>
      <c r="B716" s="3" t="n">
        <v>46301</v>
      </c>
      <c r="C716" s="2" t="s">
        <v>41</v>
      </c>
      <c r="D716" s="2" t="s">
        <v>38</v>
      </c>
      <c r="E716" s="2" t="s">
        <v>56</v>
      </c>
      <c r="F716" s="2" t="s">
        <v>34</v>
      </c>
      <c r="G716" s="2" t="s">
        <v>19</v>
      </c>
      <c r="H716" s="2" t="n">
        <v>146.3</v>
      </c>
      <c r="I716" s="2" t="n">
        <v>6.9</v>
      </c>
      <c r="J716" s="2" t="s">
        <v>20</v>
      </c>
      <c r="K716" s="2" t="n">
        <v>5</v>
      </c>
      <c r="L716" s="3" t="n">
        <f aca="false">B716-WEEKDAY(B716,2)+1</f>
        <v>46300</v>
      </c>
      <c r="M716" s="4" t="n">
        <f aca="false">IFERROR(INDEX(02_Parâmetros!$B$14:$B$17,MATCH(C716,02_Parâmetros!$A$14:$A$17,0)),"")</f>
        <v>240</v>
      </c>
      <c r="N716" s="2" t="str">
        <f aca="false">IF(OR(H716="",M716=""),"",IF(H716&lt;=M716,"Sim","Não"))</f>
        <v>Sim</v>
      </c>
    </row>
    <row r="717" customFormat="false" ht="15" hidden="false" customHeight="false" outlineLevel="0" collapsed="false">
      <c r="A717" s="2" t="s">
        <v>754</v>
      </c>
      <c r="B717" s="3" t="n">
        <v>46301</v>
      </c>
      <c r="C717" s="2" t="s">
        <v>41</v>
      </c>
      <c r="D717" s="2" t="s">
        <v>38</v>
      </c>
      <c r="E717" s="2" t="s">
        <v>39</v>
      </c>
      <c r="F717" s="2" t="s">
        <v>42</v>
      </c>
      <c r="G717" s="2" t="s">
        <v>19</v>
      </c>
      <c r="H717" s="2" t="n">
        <v>208.3</v>
      </c>
      <c r="I717" s="2" t="n">
        <v>7.5</v>
      </c>
      <c r="J717" s="2" t="s">
        <v>20</v>
      </c>
      <c r="K717" s="2"/>
      <c r="L717" s="3" t="n">
        <f aca="false">B717-WEEKDAY(B717,2)+1</f>
        <v>46300</v>
      </c>
      <c r="M717" s="4" t="n">
        <f aca="false">IFERROR(INDEX(02_Parâmetros!$B$14:$B$17,MATCH(C717,02_Parâmetros!$A$14:$A$17,0)),"")</f>
        <v>240</v>
      </c>
      <c r="N717" s="2" t="str">
        <f aca="false">IF(OR(H717="",M717=""),"",IF(H717&lt;=M717,"Sim","Não"))</f>
        <v>Sim</v>
      </c>
    </row>
    <row r="718" customFormat="false" ht="15" hidden="false" customHeight="false" outlineLevel="0" collapsed="false">
      <c r="A718" s="2" t="s">
        <v>755</v>
      </c>
      <c r="B718" s="3" t="n">
        <v>46301</v>
      </c>
      <c r="C718" s="2" t="s">
        <v>27</v>
      </c>
      <c r="D718" s="2" t="s">
        <v>22</v>
      </c>
      <c r="E718" s="2" t="s">
        <v>23</v>
      </c>
      <c r="F718" s="2" t="s">
        <v>18</v>
      </c>
      <c r="G718" s="2" t="s">
        <v>19</v>
      </c>
      <c r="H718" s="2" t="n">
        <v>3.3</v>
      </c>
      <c r="I718" s="2" t="n">
        <v>13.1</v>
      </c>
      <c r="J718" s="2" t="s">
        <v>20</v>
      </c>
      <c r="K718" s="2" t="n">
        <v>4</v>
      </c>
      <c r="L718" s="3" t="n">
        <f aca="false">B718-WEEKDAY(B718,2)+1</f>
        <v>46300</v>
      </c>
      <c r="M718" s="4" t="n">
        <f aca="false">IFERROR(INDEX(02_Parâmetros!$B$14:$B$17,MATCH(C718,02_Parâmetros!$A$14:$A$17,0)),"")</f>
        <v>10</v>
      </c>
      <c r="N718" s="2" t="str">
        <f aca="false">IF(OR(H718="",M718=""),"",IF(H718&lt;=M718,"Sim","Não"))</f>
        <v>Sim</v>
      </c>
    </row>
    <row r="719" customFormat="false" ht="15" hidden="false" customHeight="false" outlineLevel="0" collapsed="false">
      <c r="A719" s="2" t="s">
        <v>756</v>
      </c>
      <c r="B719" s="3" t="n">
        <v>46301</v>
      </c>
      <c r="C719" s="2" t="s">
        <v>15</v>
      </c>
      <c r="D719" s="2" t="s">
        <v>22</v>
      </c>
      <c r="E719" s="2" t="s">
        <v>23</v>
      </c>
      <c r="F719" s="2" t="s">
        <v>32</v>
      </c>
      <c r="G719" s="2" t="s">
        <v>19</v>
      </c>
      <c r="H719" s="2" t="n">
        <v>0.5</v>
      </c>
      <c r="I719" s="2" t="n">
        <v>9.7</v>
      </c>
      <c r="J719" s="2" t="s">
        <v>20</v>
      </c>
      <c r="K719" s="2"/>
      <c r="L719" s="3" t="n">
        <f aca="false">B719-WEEKDAY(B719,2)+1</f>
        <v>46300</v>
      </c>
      <c r="M719" s="4" t="n">
        <f aca="false">IFERROR(INDEX(02_Parâmetros!$B$14:$B$17,MATCH(C719,02_Parâmetros!$A$14:$A$17,0)),"")</f>
        <v>1</v>
      </c>
      <c r="N719" s="2" t="str">
        <f aca="false">IF(OR(H719="",M719=""),"",IF(H719&lt;=M719,"Sim","Não"))</f>
        <v>Sim</v>
      </c>
    </row>
    <row r="720" customFormat="false" ht="15" hidden="false" customHeight="false" outlineLevel="0" collapsed="false">
      <c r="A720" s="2" t="s">
        <v>757</v>
      </c>
      <c r="B720" s="3" t="n">
        <v>46301</v>
      </c>
      <c r="C720" s="2" t="s">
        <v>44</v>
      </c>
      <c r="D720" s="2" t="s">
        <v>38</v>
      </c>
      <c r="E720" s="2" t="s">
        <v>39</v>
      </c>
      <c r="F720" s="2" t="s">
        <v>18</v>
      </c>
      <c r="G720" s="2" t="s">
        <v>19</v>
      </c>
      <c r="H720" s="2" t="n">
        <v>1.1</v>
      </c>
      <c r="I720" s="2" t="n">
        <v>8.9</v>
      </c>
      <c r="J720" s="2" t="s">
        <v>25</v>
      </c>
      <c r="K720" s="2" t="n">
        <v>4</v>
      </c>
      <c r="L720" s="3" t="n">
        <f aca="false">B720-WEEKDAY(B720,2)+1</f>
        <v>46300</v>
      </c>
      <c r="M720" s="4" t="n">
        <f aca="false">IFERROR(INDEX(02_Parâmetros!$B$14:$B$17,MATCH(C720,02_Parâmetros!$A$14:$A$17,0)),"")</f>
        <v>2</v>
      </c>
      <c r="N720" s="2" t="str">
        <f aca="false">IF(OR(H720="",M720=""),"",IF(H720&lt;=M720,"Sim","Não"))</f>
        <v>Sim</v>
      </c>
    </row>
    <row r="721" customFormat="false" ht="15" hidden="false" customHeight="false" outlineLevel="0" collapsed="false">
      <c r="A721" s="2" t="s">
        <v>758</v>
      </c>
      <c r="B721" s="3" t="n">
        <v>46301</v>
      </c>
      <c r="C721" s="2" t="s">
        <v>41</v>
      </c>
      <c r="D721" s="2" t="s">
        <v>38</v>
      </c>
      <c r="E721" s="2" t="s">
        <v>39</v>
      </c>
      <c r="F721" s="2" t="s">
        <v>34</v>
      </c>
      <c r="G721" s="2" t="s">
        <v>19</v>
      </c>
      <c r="H721" s="2" t="n">
        <v>203.6</v>
      </c>
      <c r="I721" s="2" t="n">
        <v>7.6</v>
      </c>
      <c r="J721" s="2" t="s">
        <v>20</v>
      </c>
      <c r="K721" s="2"/>
      <c r="L721" s="3" t="n">
        <f aca="false">B721-WEEKDAY(B721,2)+1</f>
        <v>46300</v>
      </c>
      <c r="M721" s="4" t="n">
        <f aca="false">IFERROR(INDEX(02_Parâmetros!$B$14:$B$17,MATCH(C721,02_Parâmetros!$A$14:$A$17,0)),"")</f>
        <v>240</v>
      </c>
      <c r="N721" s="2" t="str">
        <f aca="false">IF(OR(H721="",M721=""),"",IF(H721&lt;=M721,"Sim","Não"))</f>
        <v>Sim</v>
      </c>
    </row>
    <row r="722" customFormat="false" ht="15" hidden="false" customHeight="false" outlineLevel="0" collapsed="false">
      <c r="A722" s="2" t="s">
        <v>759</v>
      </c>
      <c r="B722" s="3" t="n">
        <v>46301</v>
      </c>
      <c r="C722" s="2" t="s">
        <v>27</v>
      </c>
      <c r="D722" s="2" t="s">
        <v>16</v>
      </c>
      <c r="E722" s="2" t="s">
        <v>17</v>
      </c>
      <c r="F722" s="2" t="s">
        <v>42</v>
      </c>
      <c r="G722" s="2" t="s">
        <v>19</v>
      </c>
      <c r="H722" s="2" t="n">
        <v>9.8</v>
      </c>
      <c r="I722" s="2" t="n">
        <v>6.5</v>
      </c>
      <c r="J722" s="2" t="s">
        <v>25</v>
      </c>
      <c r="K722" s="2" t="n">
        <v>5</v>
      </c>
      <c r="L722" s="3" t="n">
        <f aca="false">B722-WEEKDAY(B722,2)+1</f>
        <v>46300</v>
      </c>
      <c r="M722" s="4" t="n">
        <f aca="false">IFERROR(INDEX(02_Parâmetros!$B$14:$B$17,MATCH(C722,02_Parâmetros!$A$14:$A$17,0)),"")</f>
        <v>10</v>
      </c>
      <c r="N722" s="2" t="str">
        <f aca="false">IF(OR(H722="",M722=""),"",IF(H722&lt;=M722,"Sim","Não"))</f>
        <v>Sim</v>
      </c>
    </row>
    <row r="723" customFormat="false" ht="15" hidden="false" customHeight="false" outlineLevel="0" collapsed="false">
      <c r="A723" s="2" t="s">
        <v>760</v>
      </c>
      <c r="B723" s="3" t="n">
        <v>46302</v>
      </c>
      <c r="C723" s="2" t="s">
        <v>27</v>
      </c>
      <c r="D723" s="2" t="s">
        <v>38</v>
      </c>
      <c r="E723" s="2" t="s">
        <v>56</v>
      </c>
      <c r="F723" s="2" t="s">
        <v>32</v>
      </c>
      <c r="G723" s="2" t="s">
        <v>19</v>
      </c>
      <c r="H723" s="2" t="n">
        <v>9.3</v>
      </c>
      <c r="I723" s="2" t="n">
        <v>9.3</v>
      </c>
      <c r="J723" s="2" t="s">
        <v>20</v>
      </c>
      <c r="K723" s="2"/>
      <c r="L723" s="3" t="n">
        <f aca="false">B723-WEEKDAY(B723,2)+1</f>
        <v>46300</v>
      </c>
      <c r="M723" s="4" t="n">
        <f aca="false">IFERROR(INDEX(02_Parâmetros!$B$14:$B$17,MATCH(C723,02_Parâmetros!$A$14:$A$17,0)),"")</f>
        <v>10</v>
      </c>
      <c r="N723" s="2" t="str">
        <f aca="false">IF(OR(H723="",M723=""),"",IF(H723&lt;=M723,"Sim","Não"))</f>
        <v>Sim</v>
      </c>
    </row>
    <row r="724" customFormat="false" ht="15" hidden="false" customHeight="false" outlineLevel="0" collapsed="false">
      <c r="A724" s="2" t="s">
        <v>761</v>
      </c>
      <c r="B724" s="3" t="n">
        <v>46302</v>
      </c>
      <c r="C724" s="2" t="s">
        <v>15</v>
      </c>
      <c r="D724" s="2" t="s">
        <v>22</v>
      </c>
      <c r="E724" s="2" t="s">
        <v>28</v>
      </c>
      <c r="F724" s="2" t="s">
        <v>18</v>
      </c>
      <c r="G724" s="2" t="s">
        <v>19</v>
      </c>
      <c r="H724" s="2" t="n">
        <v>1.3</v>
      </c>
      <c r="I724" s="2" t="n">
        <v>16.7</v>
      </c>
      <c r="J724" s="2" t="s">
        <v>20</v>
      </c>
      <c r="K724" s="2"/>
      <c r="L724" s="3" t="n">
        <f aca="false">B724-WEEKDAY(B724,2)+1</f>
        <v>46300</v>
      </c>
      <c r="M724" s="4" t="n">
        <f aca="false">IFERROR(INDEX(02_Parâmetros!$B$14:$B$17,MATCH(C724,02_Parâmetros!$A$14:$A$17,0)),"")</f>
        <v>1</v>
      </c>
      <c r="N724" s="2" t="str">
        <f aca="false">IF(OR(H724="",M724=""),"",IF(H724&lt;=M724,"Sim","Não"))</f>
        <v>Não</v>
      </c>
    </row>
    <row r="725" customFormat="false" ht="15" hidden="false" customHeight="false" outlineLevel="0" collapsed="false">
      <c r="A725" s="2" t="s">
        <v>762</v>
      </c>
      <c r="B725" s="3" t="n">
        <v>46302</v>
      </c>
      <c r="C725" s="2" t="s">
        <v>27</v>
      </c>
      <c r="D725" s="2" t="s">
        <v>16</v>
      </c>
      <c r="E725" s="2" t="s">
        <v>17</v>
      </c>
      <c r="F725" s="2" t="s">
        <v>42</v>
      </c>
      <c r="G725" s="2" t="s">
        <v>19</v>
      </c>
      <c r="H725" s="2" t="n">
        <v>3.6</v>
      </c>
      <c r="I725" s="2" t="n">
        <v>6.7</v>
      </c>
      <c r="J725" s="2" t="s">
        <v>25</v>
      </c>
      <c r="K725" s="2" t="n">
        <v>5</v>
      </c>
      <c r="L725" s="3" t="n">
        <f aca="false">B725-WEEKDAY(B725,2)+1</f>
        <v>46300</v>
      </c>
      <c r="M725" s="4" t="n">
        <f aca="false">IFERROR(INDEX(02_Parâmetros!$B$14:$B$17,MATCH(C725,02_Parâmetros!$A$14:$A$17,0)),"")</f>
        <v>10</v>
      </c>
      <c r="N725" s="2" t="str">
        <f aca="false">IF(OR(H725="",M725=""),"",IF(H725&lt;=M725,"Sim","Não"))</f>
        <v>Sim</v>
      </c>
    </row>
    <row r="726" customFormat="false" ht="15" hidden="false" customHeight="false" outlineLevel="0" collapsed="false">
      <c r="A726" s="2" t="s">
        <v>763</v>
      </c>
      <c r="B726" s="3" t="n">
        <v>46302</v>
      </c>
      <c r="C726" s="2" t="s">
        <v>15</v>
      </c>
      <c r="D726" s="2" t="s">
        <v>38</v>
      </c>
      <c r="E726" s="2" t="s">
        <v>39</v>
      </c>
      <c r="F726" s="2" t="s">
        <v>42</v>
      </c>
      <c r="G726" s="2" t="s">
        <v>19</v>
      </c>
      <c r="H726" s="2" t="n">
        <v>2.4</v>
      </c>
      <c r="I726" s="2" t="n">
        <v>10.9</v>
      </c>
      <c r="J726" s="2" t="s">
        <v>25</v>
      </c>
      <c r="K726" s="2" t="n">
        <v>3</v>
      </c>
      <c r="L726" s="3" t="n">
        <f aca="false">B726-WEEKDAY(B726,2)+1</f>
        <v>46300</v>
      </c>
      <c r="M726" s="4" t="n">
        <f aca="false">IFERROR(INDEX(02_Parâmetros!$B$14:$B$17,MATCH(C726,02_Parâmetros!$A$14:$A$17,0)),"")</f>
        <v>1</v>
      </c>
      <c r="N726" s="2" t="str">
        <f aca="false">IF(OR(H726="",M726=""),"",IF(H726&lt;=M726,"Sim","Não"))</f>
        <v>Não</v>
      </c>
    </row>
    <row r="727" customFormat="false" ht="15" hidden="false" customHeight="false" outlineLevel="0" collapsed="false">
      <c r="A727" s="2" t="s">
        <v>764</v>
      </c>
      <c r="B727" s="3" t="n">
        <v>46302</v>
      </c>
      <c r="C727" s="2" t="s">
        <v>41</v>
      </c>
      <c r="D727" s="2" t="s">
        <v>38</v>
      </c>
      <c r="E727" s="2" t="s">
        <v>39</v>
      </c>
      <c r="F727" s="2" t="s">
        <v>18</v>
      </c>
      <c r="G727" s="2" t="s">
        <v>19</v>
      </c>
      <c r="H727" s="2" t="n">
        <v>145.4</v>
      </c>
      <c r="I727" s="2" t="n">
        <v>8.1</v>
      </c>
      <c r="J727" s="2" t="s">
        <v>20</v>
      </c>
      <c r="K727" s="2"/>
      <c r="L727" s="3" t="n">
        <f aca="false">B727-WEEKDAY(B727,2)+1</f>
        <v>46300</v>
      </c>
      <c r="M727" s="4" t="n">
        <f aca="false">IFERROR(INDEX(02_Parâmetros!$B$14:$B$17,MATCH(C727,02_Parâmetros!$A$14:$A$17,0)),"")</f>
        <v>240</v>
      </c>
      <c r="N727" s="2" t="str">
        <f aca="false">IF(OR(H727="",M727=""),"",IF(H727&lt;=M727,"Sim","Não"))</f>
        <v>Sim</v>
      </c>
    </row>
    <row r="728" customFormat="false" ht="15" hidden="false" customHeight="false" outlineLevel="0" collapsed="false">
      <c r="A728" s="2" t="s">
        <v>765</v>
      </c>
      <c r="B728" s="3" t="n">
        <v>46302</v>
      </c>
      <c r="C728" s="2" t="s">
        <v>15</v>
      </c>
      <c r="D728" s="2" t="s">
        <v>22</v>
      </c>
      <c r="E728" s="2" t="s">
        <v>28</v>
      </c>
      <c r="F728" s="2" t="s">
        <v>18</v>
      </c>
      <c r="G728" s="2" t="s">
        <v>19</v>
      </c>
      <c r="H728" s="2" t="n">
        <v>0.3</v>
      </c>
      <c r="I728" s="2" t="n">
        <v>19.2</v>
      </c>
      <c r="J728" s="2" t="s">
        <v>20</v>
      </c>
      <c r="K728" s="2" t="n">
        <v>1</v>
      </c>
      <c r="L728" s="3" t="n">
        <f aca="false">B728-WEEKDAY(B728,2)+1</f>
        <v>46300</v>
      </c>
      <c r="M728" s="4" t="n">
        <f aca="false">IFERROR(INDEX(02_Parâmetros!$B$14:$B$17,MATCH(C728,02_Parâmetros!$A$14:$A$17,0)),"")</f>
        <v>1</v>
      </c>
      <c r="N728" s="2" t="str">
        <f aca="false">IF(OR(H728="",M728=""),"",IF(H728&lt;=M728,"Sim","Não"))</f>
        <v>Sim</v>
      </c>
    </row>
    <row r="729" customFormat="false" ht="15" hidden="false" customHeight="false" outlineLevel="0" collapsed="false">
      <c r="A729" s="2" t="s">
        <v>766</v>
      </c>
      <c r="B729" s="3" t="n">
        <v>46302</v>
      </c>
      <c r="C729" s="2" t="s">
        <v>27</v>
      </c>
      <c r="D729" s="2" t="s">
        <v>38</v>
      </c>
      <c r="E729" s="2" t="s">
        <v>39</v>
      </c>
      <c r="F729" s="2" t="s">
        <v>42</v>
      </c>
      <c r="G729" s="2" t="s">
        <v>19</v>
      </c>
      <c r="H729" s="2" t="n">
        <v>6.3</v>
      </c>
      <c r="I729" s="2" t="n">
        <v>8.1</v>
      </c>
      <c r="J729" s="2" t="s">
        <v>20</v>
      </c>
      <c r="K729" s="2"/>
      <c r="L729" s="3" t="n">
        <f aca="false">B729-WEEKDAY(B729,2)+1</f>
        <v>46300</v>
      </c>
      <c r="M729" s="4" t="n">
        <f aca="false">IFERROR(INDEX(02_Parâmetros!$B$14:$B$17,MATCH(C729,02_Parâmetros!$A$14:$A$17,0)),"")</f>
        <v>10</v>
      </c>
      <c r="N729" s="2" t="str">
        <f aca="false">IF(OR(H729="",M729=""),"",IF(H729&lt;=M729,"Sim","Não"))</f>
        <v>Sim</v>
      </c>
    </row>
    <row r="730" customFormat="false" ht="15" hidden="false" customHeight="false" outlineLevel="0" collapsed="false">
      <c r="A730" s="2" t="s">
        <v>767</v>
      </c>
      <c r="B730" s="3" t="n">
        <v>46302</v>
      </c>
      <c r="C730" s="2" t="s">
        <v>27</v>
      </c>
      <c r="D730" s="2" t="s">
        <v>22</v>
      </c>
      <c r="E730" s="2" t="s">
        <v>28</v>
      </c>
      <c r="F730" s="2" t="s">
        <v>24</v>
      </c>
      <c r="G730" s="2" t="s">
        <v>19</v>
      </c>
      <c r="H730" s="2" t="n">
        <v>3.3</v>
      </c>
      <c r="I730" s="2" t="n">
        <v>9.1</v>
      </c>
      <c r="J730" s="2" t="s">
        <v>20</v>
      </c>
      <c r="K730" s="2" t="n">
        <v>4</v>
      </c>
      <c r="L730" s="3" t="n">
        <f aca="false">B730-WEEKDAY(B730,2)+1</f>
        <v>46300</v>
      </c>
      <c r="M730" s="4" t="n">
        <f aca="false">IFERROR(INDEX(02_Parâmetros!$B$14:$B$17,MATCH(C730,02_Parâmetros!$A$14:$A$17,0)),"")</f>
        <v>10</v>
      </c>
      <c r="N730" s="2" t="str">
        <f aca="false">IF(OR(H730="",M730=""),"",IF(H730&lt;=M730,"Sim","Não"))</f>
        <v>Sim</v>
      </c>
    </row>
    <row r="731" customFormat="false" ht="15" hidden="false" customHeight="false" outlineLevel="0" collapsed="false">
      <c r="A731" s="2" t="s">
        <v>768</v>
      </c>
      <c r="B731" s="3" t="n">
        <v>46302</v>
      </c>
      <c r="C731" s="2" t="s">
        <v>27</v>
      </c>
      <c r="D731" s="2" t="s">
        <v>16</v>
      </c>
      <c r="E731" s="2" t="s">
        <v>31</v>
      </c>
      <c r="F731" s="2" t="s">
        <v>18</v>
      </c>
      <c r="G731" s="2" t="s">
        <v>19</v>
      </c>
      <c r="H731" s="2" t="n">
        <v>2.6</v>
      </c>
      <c r="I731" s="2" t="n">
        <v>7.8</v>
      </c>
      <c r="J731" s="2" t="s">
        <v>20</v>
      </c>
      <c r="K731" s="2"/>
      <c r="L731" s="3" t="n">
        <f aca="false">B731-WEEKDAY(B731,2)+1</f>
        <v>46300</v>
      </c>
      <c r="M731" s="4" t="n">
        <f aca="false">IFERROR(INDEX(02_Parâmetros!$B$14:$B$17,MATCH(C731,02_Parâmetros!$A$14:$A$17,0)),"")</f>
        <v>10</v>
      </c>
      <c r="N731" s="2" t="str">
        <f aca="false">IF(OR(H731="",M731=""),"",IF(H731&lt;=M731,"Sim","Não"))</f>
        <v>Sim</v>
      </c>
    </row>
    <row r="732" customFormat="false" ht="15" hidden="false" customHeight="false" outlineLevel="0" collapsed="false">
      <c r="A732" s="2" t="s">
        <v>769</v>
      </c>
      <c r="B732" s="3" t="n">
        <v>46302</v>
      </c>
      <c r="C732" s="2" t="s">
        <v>44</v>
      </c>
      <c r="D732" s="2" t="s">
        <v>22</v>
      </c>
      <c r="E732" s="2" t="s">
        <v>28</v>
      </c>
      <c r="F732" s="2" t="s">
        <v>32</v>
      </c>
      <c r="G732" s="2" t="s">
        <v>19</v>
      </c>
      <c r="H732" s="2" t="n">
        <v>1.8</v>
      </c>
      <c r="I732" s="2" t="n">
        <v>7.2</v>
      </c>
      <c r="J732" s="2" t="s">
        <v>25</v>
      </c>
      <c r="K732" s="2" t="n">
        <v>5</v>
      </c>
      <c r="L732" s="3" t="n">
        <f aca="false">B732-WEEKDAY(B732,2)+1</f>
        <v>46300</v>
      </c>
      <c r="M732" s="4" t="n">
        <f aca="false">IFERROR(INDEX(02_Parâmetros!$B$14:$B$17,MATCH(C732,02_Parâmetros!$A$14:$A$17,0)),"")</f>
        <v>2</v>
      </c>
      <c r="N732" s="2" t="str">
        <f aca="false">IF(OR(H732="",M732=""),"",IF(H732&lt;=M732,"Sim","Não"))</f>
        <v>Sim</v>
      </c>
    </row>
    <row r="733" customFormat="false" ht="15" hidden="false" customHeight="false" outlineLevel="0" collapsed="false">
      <c r="A733" s="2" t="s">
        <v>770</v>
      </c>
      <c r="B733" s="3" t="n">
        <v>46302</v>
      </c>
      <c r="C733" s="2" t="s">
        <v>27</v>
      </c>
      <c r="D733" s="2" t="s">
        <v>38</v>
      </c>
      <c r="E733" s="2" t="s">
        <v>56</v>
      </c>
      <c r="F733" s="2" t="s">
        <v>24</v>
      </c>
      <c r="G733" s="2" t="s">
        <v>19</v>
      </c>
      <c r="H733" s="2" t="n">
        <v>8.1</v>
      </c>
      <c r="I733" s="2" t="n">
        <v>8.9</v>
      </c>
      <c r="J733" s="2" t="s">
        <v>25</v>
      </c>
      <c r="K733" s="2"/>
      <c r="L733" s="3" t="n">
        <f aca="false">B733-WEEKDAY(B733,2)+1</f>
        <v>46300</v>
      </c>
      <c r="M733" s="4" t="n">
        <f aca="false">IFERROR(INDEX(02_Parâmetros!$B$14:$B$17,MATCH(C733,02_Parâmetros!$A$14:$A$17,0)),"")</f>
        <v>10</v>
      </c>
      <c r="N733" s="2" t="str">
        <f aca="false">IF(OR(H733="",M733=""),"",IF(H733&lt;=M733,"Sim","Não"))</f>
        <v>Sim</v>
      </c>
    </row>
    <row r="734" customFormat="false" ht="15" hidden="false" customHeight="false" outlineLevel="0" collapsed="false">
      <c r="A734" s="2" t="s">
        <v>771</v>
      </c>
      <c r="B734" s="3" t="n">
        <v>46302</v>
      </c>
      <c r="C734" s="2" t="s">
        <v>41</v>
      </c>
      <c r="D734" s="2" t="s">
        <v>38</v>
      </c>
      <c r="E734" s="2" t="s">
        <v>47</v>
      </c>
      <c r="F734" s="2" t="s">
        <v>70</v>
      </c>
      <c r="G734" s="2" t="s">
        <v>19</v>
      </c>
      <c r="H734" s="2" t="n">
        <v>647.9</v>
      </c>
      <c r="I734" s="2" t="n">
        <v>9.6</v>
      </c>
      <c r="J734" s="2" t="s">
        <v>20</v>
      </c>
      <c r="K734" s="2" t="n">
        <v>4</v>
      </c>
      <c r="L734" s="3" t="n">
        <f aca="false">B734-WEEKDAY(B734,2)+1</f>
        <v>46300</v>
      </c>
      <c r="M734" s="4" t="n">
        <f aca="false">IFERROR(INDEX(02_Parâmetros!$B$14:$B$17,MATCH(C734,02_Parâmetros!$A$14:$A$17,0)),"")</f>
        <v>240</v>
      </c>
      <c r="N734" s="2" t="str">
        <f aca="false">IF(OR(H734="",M734=""),"",IF(H734&lt;=M734,"Sim","Não"))</f>
        <v>Não</v>
      </c>
    </row>
    <row r="735" customFormat="false" ht="15" hidden="false" customHeight="false" outlineLevel="0" collapsed="false">
      <c r="A735" s="2" t="s">
        <v>772</v>
      </c>
      <c r="B735" s="3" t="n">
        <v>46302</v>
      </c>
      <c r="C735" s="2" t="s">
        <v>44</v>
      </c>
      <c r="D735" s="2" t="s">
        <v>16</v>
      </c>
      <c r="E735" s="2" t="s">
        <v>36</v>
      </c>
      <c r="F735" s="2" t="s">
        <v>70</v>
      </c>
      <c r="G735" s="2" t="s">
        <v>19</v>
      </c>
      <c r="H735" s="2" t="n">
        <v>1.6</v>
      </c>
      <c r="I735" s="2" t="n">
        <v>7.5</v>
      </c>
      <c r="J735" s="2" t="s">
        <v>20</v>
      </c>
      <c r="K735" s="2"/>
      <c r="L735" s="3" t="n">
        <f aca="false">B735-WEEKDAY(B735,2)+1</f>
        <v>46300</v>
      </c>
      <c r="M735" s="4" t="n">
        <f aca="false">IFERROR(INDEX(02_Parâmetros!$B$14:$B$17,MATCH(C735,02_Parâmetros!$A$14:$A$17,0)),"")</f>
        <v>2</v>
      </c>
      <c r="N735" s="2" t="str">
        <f aca="false">IF(OR(H735="",M735=""),"",IF(H735&lt;=M735,"Sim","Não"))</f>
        <v>Sim</v>
      </c>
    </row>
    <row r="736" customFormat="false" ht="15" hidden="false" customHeight="false" outlineLevel="0" collapsed="false">
      <c r="A736" s="2" t="s">
        <v>773</v>
      </c>
      <c r="B736" s="3" t="n">
        <v>46302</v>
      </c>
      <c r="C736" s="2" t="s">
        <v>41</v>
      </c>
      <c r="D736" s="2" t="s">
        <v>38</v>
      </c>
      <c r="E736" s="2" t="s">
        <v>47</v>
      </c>
      <c r="F736" s="2" t="s">
        <v>42</v>
      </c>
      <c r="G736" s="2" t="s">
        <v>19</v>
      </c>
      <c r="H736" s="2" t="n">
        <v>204.1</v>
      </c>
      <c r="I736" s="2" t="n">
        <v>10.8</v>
      </c>
      <c r="J736" s="2" t="s">
        <v>25</v>
      </c>
      <c r="K736" s="2" t="n">
        <v>2</v>
      </c>
      <c r="L736" s="3" t="n">
        <f aca="false">B736-WEEKDAY(B736,2)+1</f>
        <v>46300</v>
      </c>
      <c r="M736" s="4" t="n">
        <f aca="false">IFERROR(INDEX(02_Parâmetros!$B$14:$B$17,MATCH(C736,02_Parâmetros!$A$14:$A$17,0)),"")</f>
        <v>240</v>
      </c>
      <c r="N736" s="2" t="str">
        <f aca="false">IF(OR(H736="",M736=""),"",IF(H736&lt;=M736,"Sim","Não"))</f>
        <v>Sim</v>
      </c>
    </row>
    <row r="737" customFormat="false" ht="15" hidden="false" customHeight="false" outlineLevel="0" collapsed="false">
      <c r="A737" s="2" t="s">
        <v>774</v>
      </c>
      <c r="B737" s="3" t="n">
        <v>46302</v>
      </c>
      <c r="C737" s="2" t="s">
        <v>27</v>
      </c>
      <c r="D737" s="2" t="s">
        <v>16</v>
      </c>
      <c r="E737" s="2" t="s">
        <v>36</v>
      </c>
      <c r="F737" s="2" t="s">
        <v>70</v>
      </c>
      <c r="G737" s="2" t="s">
        <v>19</v>
      </c>
      <c r="H737" s="2" t="n">
        <v>2.7</v>
      </c>
      <c r="I737" s="2" t="n">
        <v>6.4</v>
      </c>
      <c r="J737" s="2" t="s">
        <v>20</v>
      </c>
      <c r="K737" s="2" t="n">
        <v>4</v>
      </c>
      <c r="L737" s="3" t="n">
        <f aca="false">B737-WEEKDAY(B737,2)+1</f>
        <v>46300</v>
      </c>
      <c r="M737" s="4" t="n">
        <f aca="false">IFERROR(INDEX(02_Parâmetros!$B$14:$B$17,MATCH(C737,02_Parâmetros!$A$14:$A$17,0)),"")</f>
        <v>10</v>
      </c>
      <c r="N737" s="2" t="str">
        <f aca="false">IF(OR(H737="",M737=""),"",IF(H737&lt;=M737,"Sim","Não"))</f>
        <v>Sim</v>
      </c>
    </row>
    <row r="738" customFormat="false" ht="15" hidden="false" customHeight="false" outlineLevel="0" collapsed="false">
      <c r="A738" s="2" t="s">
        <v>775</v>
      </c>
      <c r="B738" s="3" t="n">
        <v>46302</v>
      </c>
      <c r="C738" s="2" t="s">
        <v>27</v>
      </c>
      <c r="D738" s="2" t="s">
        <v>22</v>
      </c>
      <c r="E738" s="2" t="s">
        <v>28</v>
      </c>
      <c r="F738" s="2" t="s">
        <v>18</v>
      </c>
      <c r="G738" s="2" t="s">
        <v>19</v>
      </c>
      <c r="H738" s="2" t="n">
        <v>2.6</v>
      </c>
      <c r="I738" s="2" t="n">
        <v>8</v>
      </c>
      <c r="J738" s="2" t="s">
        <v>20</v>
      </c>
      <c r="K738" s="2" t="n">
        <v>5</v>
      </c>
      <c r="L738" s="3" t="n">
        <f aca="false">B738-WEEKDAY(B738,2)+1</f>
        <v>46300</v>
      </c>
      <c r="M738" s="4" t="n">
        <f aca="false">IFERROR(INDEX(02_Parâmetros!$B$14:$B$17,MATCH(C738,02_Parâmetros!$A$14:$A$17,0)),"")</f>
        <v>10</v>
      </c>
      <c r="N738" s="2" t="str">
        <f aca="false">IF(OR(H738="",M738=""),"",IF(H738&lt;=M738,"Sim","Não"))</f>
        <v>Sim</v>
      </c>
    </row>
    <row r="739" customFormat="false" ht="15" hidden="false" customHeight="false" outlineLevel="0" collapsed="false">
      <c r="A739" s="2" t="s">
        <v>776</v>
      </c>
      <c r="B739" s="3" t="n">
        <v>46303</v>
      </c>
      <c r="C739" s="2" t="s">
        <v>44</v>
      </c>
      <c r="D739" s="2" t="s">
        <v>38</v>
      </c>
      <c r="E739" s="2" t="s">
        <v>56</v>
      </c>
      <c r="F739" s="2" t="s">
        <v>42</v>
      </c>
      <c r="G739" s="2" t="s">
        <v>19</v>
      </c>
      <c r="H739" s="2" t="n">
        <v>1</v>
      </c>
      <c r="I739" s="2" t="n">
        <v>9.6</v>
      </c>
      <c r="J739" s="2" t="s">
        <v>20</v>
      </c>
      <c r="K739" s="2"/>
      <c r="L739" s="3" t="n">
        <f aca="false">B739-WEEKDAY(B739,2)+1</f>
        <v>46300</v>
      </c>
      <c r="M739" s="4" t="n">
        <f aca="false">IFERROR(INDEX(02_Parâmetros!$B$14:$B$17,MATCH(C739,02_Parâmetros!$A$14:$A$17,0)),"")</f>
        <v>2</v>
      </c>
      <c r="N739" s="2" t="str">
        <f aca="false">IF(OR(H739="",M739=""),"",IF(H739&lt;=M739,"Sim","Não"))</f>
        <v>Sim</v>
      </c>
    </row>
    <row r="740" customFormat="false" ht="15" hidden="false" customHeight="false" outlineLevel="0" collapsed="false">
      <c r="A740" s="2" t="s">
        <v>777</v>
      </c>
      <c r="B740" s="3" t="n">
        <v>46303</v>
      </c>
      <c r="C740" s="2" t="s">
        <v>41</v>
      </c>
      <c r="D740" s="2" t="s">
        <v>22</v>
      </c>
      <c r="E740" s="2" t="s">
        <v>28</v>
      </c>
      <c r="F740" s="2" t="s">
        <v>18</v>
      </c>
      <c r="G740" s="2" t="s">
        <v>19</v>
      </c>
      <c r="H740" s="2" t="n">
        <v>229.3</v>
      </c>
      <c r="I740" s="2" t="n">
        <v>13.6</v>
      </c>
      <c r="J740" s="2" t="s">
        <v>20</v>
      </c>
      <c r="K740" s="2"/>
      <c r="L740" s="3" t="n">
        <f aca="false">B740-WEEKDAY(B740,2)+1</f>
        <v>46300</v>
      </c>
      <c r="M740" s="4" t="n">
        <f aca="false">IFERROR(INDEX(02_Parâmetros!$B$14:$B$17,MATCH(C740,02_Parâmetros!$A$14:$A$17,0)),"")</f>
        <v>240</v>
      </c>
      <c r="N740" s="2" t="str">
        <f aca="false">IF(OR(H740="",M740=""),"",IF(H740&lt;=M740,"Sim","Não"))</f>
        <v>Sim</v>
      </c>
    </row>
    <row r="741" customFormat="false" ht="15" hidden="false" customHeight="false" outlineLevel="0" collapsed="false">
      <c r="A741" s="2" t="s">
        <v>778</v>
      </c>
      <c r="B741" s="3" t="n">
        <v>46303</v>
      </c>
      <c r="C741" s="2" t="s">
        <v>15</v>
      </c>
      <c r="D741" s="2" t="s">
        <v>22</v>
      </c>
      <c r="E741" s="2" t="s">
        <v>28</v>
      </c>
      <c r="F741" s="2" t="s">
        <v>34</v>
      </c>
      <c r="G741" s="2" t="s">
        <v>19</v>
      </c>
      <c r="H741" s="2" t="n">
        <v>0.8</v>
      </c>
      <c r="I741" s="2" t="n">
        <v>9.2</v>
      </c>
      <c r="J741" s="2" t="s">
        <v>20</v>
      </c>
      <c r="K741" s="2" t="n">
        <v>5</v>
      </c>
      <c r="L741" s="3" t="n">
        <f aca="false">B741-WEEKDAY(B741,2)+1</f>
        <v>46300</v>
      </c>
      <c r="M741" s="4" t="n">
        <f aca="false">IFERROR(INDEX(02_Parâmetros!$B$14:$B$17,MATCH(C741,02_Parâmetros!$A$14:$A$17,0)),"")</f>
        <v>1</v>
      </c>
      <c r="N741" s="2" t="str">
        <f aca="false">IF(OR(H741="",M741=""),"",IF(H741&lt;=M741,"Sim","Não"))</f>
        <v>Sim</v>
      </c>
    </row>
    <row r="742" customFormat="false" ht="15" hidden="false" customHeight="false" outlineLevel="0" collapsed="false">
      <c r="A742" s="2" t="s">
        <v>779</v>
      </c>
      <c r="B742" s="3" t="n">
        <v>46303</v>
      </c>
      <c r="C742" s="2" t="s">
        <v>44</v>
      </c>
      <c r="D742" s="2" t="s">
        <v>16</v>
      </c>
      <c r="E742" s="2" t="s">
        <v>17</v>
      </c>
      <c r="F742" s="2" t="s">
        <v>18</v>
      </c>
      <c r="G742" s="2" t="s">
        <v>19</v>
      </c>
      <c r="H742" s="2" t="n">
        <v>1.7</v>
      </c>
      <c r="I742" s="2" t="n">
        <v>12.4</v>
      </c>
      <c r="J742" s="2" t="s">
        <v>20</v>
      </c>
      <c r="K742" s="2" t="n">
        <v>5</v>
      </c>
      <c r="L742" s="3" t="n">
        <f aca="false">B742-WEEKDAY(B742,2)+1</f>
        <v>46300</v>
      </c>
      <c r="M742" s="4" t="n">
        <f aca="false">IFERROR(INDEX(02_Parâmetros!$B$14:$B$17,MATCH(C742,02_Parâmetros!$A$14:$A$17,0)),"")</f>
        <v>2</v>
      </c>
      <c r="N742" s="2" t="str">
        <f aca="false">IF(OR(H742="",M742=""),"",IF(H742&lt;=M742,"Sim","Não"))</f>
        <v>Sim</v>
      </c>
    </row>
    <row r="743" customFormat="false" ht="15" hidden="false" customHeight="false" outlineLevel="0" collapsed="false">
      <c r="A743" s="2" t="s">
        <v>780</v>
      </c>
      <c r="B743" s="3" t="n">
        <v>46303</v>
      </c>
      <c r="C743" s="2" t="s">
        <v>15</v>
      </c>
      <c r="D743" s="2" t="s">
        <v>16</v>
      </c>
      <c r="E743" s="2" t="s">
        <v>31</v>
      </c>
      <c r="F743" s="2" t="s">
        <v>24</v>
      </c>
      <c r="G743" s="2" t="s">
        <v>19</v>
      </c>
      <c r="H743" s="2" t="n">
        <v>0.8</v>
      </c>
      <c r="I743" s="2" t="n">
        <v>11.8</v>
      </c>
      <c r="J743" s="2" t="s">
        <v>20</v>
      </c>
      <c r="K743" s="2"/>
      <c r="L743" s="3" t="n">
        <f aca="false">B743-WEEKDAY(B743,2)+1</f>
        <v>46300</v>
      </c>
      <c r="M743" s="4" t="n">
        <f aca="false">IFERROR(INDEX(02_Parâmetros!$B$14:$B$17,MATCH(C743,02_Parâmetros!$A$14:$A$17,0)),"")</f>
        <v>1</v>
      </c>
      <c r="N743" s="2" t="str">
        <f aca="false">IF(OR(H743="",M743=""),"",IF(H743&lt;=M743,"Sim","Não"))</f>
        <v>Sim</v>
      </c>
    </row>
    <row r="744" customFormat="false" ht="15" hidden="false" customHeight="false" outlineLevel="0" collapsed="false">
      <c r="A744" s="2" t="s">
        <v>781</v>
      </c>
      <c r="B744" s="3" t="n">
        <v>46303</v>
      </c>
      <c r="C744" s="2" t="s">
        <v>41</v>
      </c>
      <c r="D744" s="2" t="s">
        <v>16</v>
      </c>
      <c r="E744" s="2" t="s">
        <v>17</v>
      </c>
      <c r="F744" s="2" t="s">
        <v>32</v>
      </c>
      <c r="G744" s="2" t="s">
        <v>19</v>
      </c>
      <c r="H744" s="2" t="n">
        <v>211.9</v>
      </c>
      <c r="I744" s="2" t="n">
        <v>11.5</v>
      </c>
      <c r="J744" s="2" t="s">
        <v>20</v>
      </c>
      <c r="K744" s="2"/>
      <c r="L744" s="3" t="n">
        <f aca="false">B744-WEEKDAY(B744,2)+1</f>
        <v>46300</v>
      </c>
      <c r="M744" s="4" t="n">
        <f aca="false">IFERROR(INDEX(02_Parâmetros!$B$14:$B$17,MATCH(C744,02_Parâmetros!$A$14:$A$17,0)),"")</f>
        <v>240</v>
      </c>
      <c r="N744" s="2" t="str">
        <f aca="false">IF(OR(H744="",M744=""),"",IF(H744&lt;=M744,"Sim","Não"))</f>
        <v>Sim</v>
      </c>
    </row>
    <row r="745" customFormat="false" ht="15" hidden="false" customHeight="false" outlineLevel="0" collapsed="false">
      <c r="A745" s="2" t="s">
        <v>782</v>
      </c>
      <c r="B745" s="3" t="n">
        <v>46303</v>
      </c>
      <c r="C745" s="2" t="s">
        <v>27</v>
      </c>
      <c r="D745" s="2" t="s">
        <v>16</v>
      </c>
      <c r="E745" s="2" t="s">
        <v>31</v>
      </c>
      <c r="F745" s="2" t="s">
        <v>32</v>
      </c>
      <c r="G745" s="2" t="s">
        <v>19</v>
      </c>
      <c r="H745" s="2" t="n">
        <v>4.5</v>
      </c>
      <c r="I745" s="2" t="n">
        <v>5.8</v>
      </c>
      <c r="J745" s="2" t="s">
        <v>20</v>
      </c>
      <c r="K745" s="2"/>
      <c r="L745" s="3" t="n">
        <f aca="false">B745-WEEKDAY(B745,2)+1</f>
        <v>46300</v>
      </c>
      <c r="M745" s="4" t="n">
        <f aca="false">IFERROR(INDEX(02_Parâmetros!$B$14:$B$17,MATCH(C745,02_Parâmetros!$A$14:$A$17,0)),"")</f>
        <v>10</v>
      </c>
      <c r="N745" s="2" t="str">
        <f aca="false">IF(OR(H745="",M745=""),"",IF(H745&lt;=M745,"Sim","Não"))</f>
        <v>Sim</v>
      </c>
    </row>
    <row r="746" customFormat="false" ht="15" hidden="false" customHeight="false" outlineLevel="0" collapsed="false">
      <c r="A746" s="2" t="s">
        <v>783</v>
      </c>
      <c r="B746" s="3" t="n">
        <v>46303</v>
      </c>
      <c r="C746" s="2" t="s">
        <v>27</v>
      </c>
      <c r="D746" s="2" t="s">
        <v>38</v>
      </c>
      <c r="E746" s="2" t="s">
        <v>56</v>
      </c>
      <c r="F746" s="2" t="s">
        <v>42</v>
      </c>
      <c r="G746" s="2" t="s">
        <v>19</v>
      </c>
      <c r="H746" s="2" t="n">
        <v>14.3</v>
      </c>
      <c r="I746" s="2" t="n">
        <v>5.3</v>
      </c>
      <c r="J746" s="2" t="s">
        <v>25</v>
      </c>
      <c r="K746" s="2" t="n">
        <v>1</v>
      </c>
      <c r="L746" s="3" t="n">
        <f aca="false">B746-WEEKDAY(B746,2)+1</f>
        <v>46300</v>
      </c>
      <c r="M746" s="4" t="n">
        <f aca="false">IFERROR(INDEX(02_Parâmetros!$B$14:$B$17,MATCH(C746,02_Parâmetros!$A$14:$A$17,0)),"")</f>
        <v>10</v>
      </c>
      <c r="N746" s="2" t="str">
        <f aca="false">IF(OR(H746="",M746=""),"",IF(H746&lt;=M746,"Sim","Não"))</f>
        <v>Não</v>
      </c>
    </row>
    <row r="747" customFormat="false" ht="15" hidden="false" customHeight="false" outlineLevel="0" collapsed="false">
      <c r="A747" s="2" t="s">
        <v>784</v>
      </c>
      <c r="B747" s="3" t="n">
        <v>46303</v>
      </c>
      <c r="C747" s="2" t="s">
        <v>44</v>
      </c>
      <c r="D747" s="2" t="s">
        <v>16</v>
      </c>
      <c r="E747" s="2" t="s">
        <v>36</v>
      </c>
      <c r="F747" s="2" t="s">
        <v>24</v>
      </c>
      <c r="G747" s="2" t="s">
        <v>19</v>
      </c>
      <c r="H747" s="2" t="n">
        <v>1.8</v>
      </c>
      <c r="I747" s="2" t="n">
        <v>7.8</v>
      </c>
      <c r="J747" s="2" t="s">
        <v>20</v>
      </c>
      <c r="K747" s="2"/>
      <c r="L747" s="3" t="n">
        <f aca="false">B747-WEEKDAY(B747,2)+1</f>
        <v>46300</v>
      </c>
      <c r="M747" s="4" t="n">
        <f aca="false">IFERROR(INDEX(02_Parâmetros!$B$14:$B$17,MATCH(C747,02_Parâmetros!$A$14:$A$17,0)),"")</f>
        <v>2</v>
      </c>
      <c r="N747" s="2" t="str">
        <f aca="false">IF(OR(H747="",M747=""),"",IF(H747&lt;=M747,"Sim","Não"))</f>
        <v>Sim</v>
      </c>
    </row>
    <row r="748" customFormat="false" ht="15" hidden="false" customHeight="false" outlineLevel="0" collapsed="false">
      <c r="A748" s="2" t="s">
        <v>785</v>
      </c>
      <c r="B748" s="3" t="n">
        <v>46303</v>
      </c>
      <c r="C748" s="2" t="s">
        <v>41</v>
      </c>
      <c r="D748" s="2" t="s">
        <v>16</v>
      </c>
      <c r="E748" s="2" t="s">
        <v>31</v>
      </c>
      <c r="F748" s="2" t="s">
        <v>18</v>
      </c>
      <c r="G748" s="2" t="s">
        <v>19</v>
      </c>
      <c r="H748" s="2" t="n">
        <v>574.8</v>
      </c>
      <c r="I748" s="2" t="n">
        <v>10.8</v>
      </c>
      <c r="J748" s="2" t="s">
        <v>20</v>
      </c>
      <c r="K748" s="2"/>
      <c r="L748" s="3" t="n">
        <f aca="false">B748-WEEKDAY(B748,2)+1</f>
        <v>46300</v>
      </c>
      <c r="M748" s="4" t="n">
        <f aca="false">IFERROR(INDEX(02_Parâmetros!$B$14:$B$17,MATCH(C748,02_Parâmetros!$A$14:$A$17,0)),"")</f>
        <v>240</v>
      </c>
      <c r="N748" s="2" t="str">
        <f aca="false">IF(OR(H748="",M748=""),"",IF(H748&lt;=M748,"Sim","Não"))</f>
        <v>Não</v>
      </c>
    </row>
    <row r="749" customFormat="false" ht="15" hidden="false" customHeight="false" outlineLevel="0" collapsed="false">
      <c r="A749" s="2" t="s">
        <v>786</v>
      </c>
      <c r="B749" s="3" t="n">
        <v>46303</v>
      </c>
      <c r="C749" s="2" t="s">
        <v>15</v>
      </c>
      <c r="D749" s="2" t="s">
        <v>16</v>
      </c>
      <c r="E749" s="2" t="s">
        <v>31</v>
      </c>
      <c r="F749" s="2" t="s">
        <v>18</v>
      </c>
      <c r="G749" s="2" t="s">
        <v>19</v>
      </c>
      <c r="H749" s="2"/>
      <c r="I749" s="2" t="n">
        <v>14.5</v>
      </c>
      <c r="J749" s="2" t="s">
        <v>20</v>
      </c>
      <c r="K749" s="2"/>
      <c r="L749" s="3" t="n">
        <f aca="false">B749-WEEKDAY(B749,2)+1</f>
        <v>46300</v>
      </c>
      <c r="M749" s="4" t="n">
        <f aca="false">IFERROR(INDEX(02_Parâmetros!$B$14:$B$17,MATCH(C749,02_Parâmetros!$A$14:$A$17,0)),"")</f>
        <v>1</v>
      </c>
      <c r="N749" s="2" t="str">
        <f aca="false">IF(OR(H749="",M749=""),"",IF(H749&lt;=M749,"Sim","Não"))</f>
        <v/>
      </c>
    </row>
    <row r="750" customFormat="false" ht="15" hidden="false" customHeight="false" outlineLevel="0" collapsed="false">
      <c r="A750" s="2" t="s">
        <v>787</v>
      </c>
      <c r="B750" s="3" t="n">
        <v>46303</v>
      </c>
      <c r="C750" s="2" t="s">
        <v>27</v>
      </c>
      <c r="D750" s="2" t="s">
        <v>16</v>
      </c>
      <c r="E750" s="2" t="s">
        <v>17</v>
      </c>
      <c r="F750" s="2" t="s">
        <v>32</v>
      </c>
      <c r="G750" s="2" t="s">
        <v>19</v>
      </c>
      <c r="H750" s="2" t="n">
        <v>12.7</v>
      </c>
      <c r="I750" s="2" t="n">
        <v>3.5</v>
      </c>
      <c r="J750" s="2" t="s">
        <v>20</v>
      </c>
      <c r="K750" s="2"/>
      <c r="L750" s="3" t="n">
        <f aca="false">B750-WEEKDAY(B750,2)+1</f>
        <v>46300</v>
      </c>
      <c r="M750" s="4" t="n">
        <f aca="false">IFERROR(INDEX(02_Parâmetros!$B$14:$B$17,MATCH(C750,02_Parâmetros!$A$14:$A$17,0)),"")</f>
        <v>10</v>
      </c>
      <c r="N750" s="2" t="str">
        <f aca="false">IF(OR(H750="",M750=""),"",IF(H750&lt;=M750,"Sim","Não"))</f>
        <v>Não</v>
      </c>
    </row>
    <row r="751" customFormat="false" ht="15" hidden="false" customHeight="false" outlineLevel="0" collapsed="false">
      <c r="A751" s="2" t="s">
        <v>788</v>
      </c>
      <c r="B751" s="3" t="n">
        <v>46303</v>
      </c>
      <c r="C751" s="2" t="s">
        <v>41</v>
      </c>
      <c r="D751" s="2" t="s">
        <v>16</v>
      </c>
      <c r="E751" s="2" t="s">
        <v>31</v>
      </c>
      <c r="F751" s="2" t="s">
        <v>42</v>
      </c>
      <c r="G751" s="2" t="s">
        <v>19</v>
      </c>
      <c r="H751" s="2" t="n">
        <v>314.6</v>
      </c>
      <c r="I751" s="2" t="n">
        <v>12.3</v>
      </c>
      <c r="J751" s="2" t="s">
        <v>20</v>
      </c>
      <c r="K751" s="2"/>
      <c r="L751" s="3" t="n">
        <f aca="false">B751-WEEKDAY(B751,2)+1</f>
        <v>46300</v>
      </c>
      <c r="M751" s="4" t="n">
        <f aca="false">IFERROR(INDEX(02_Parâmetros!$B$14:$B$17,MATCH(C751,02_Parâmetros!$A$14:$A$17,0)),"")</f>
        <v>240</v>
      </c>
      <c r="N751" s="2" t="str">
        <f aca="false">IF(OR(H751="",M751=""),"",IF(H751&lt;=M751,"Sim","Não"))</f>
        <v>Não</v>
      </c>
    </row>
    <row r="752" customFormat="false" ht="15" hidden="false" customHeight="false" outlineLevel="0" collapsed="false">
      <c r="A752" s="2" t="s">
        <v>789</v>
      </c>
      <c r="B752" s="3" t="n">
        <v>46303</v>
      </c>
      <c r="C752" s="2" t="s">
        <v>41</v>
      </c>
      <c r="D752" s="2" t="s">
        <v>16</v>
      </c>
      <c r="E752" s="2" t="s">
        <v>31</v>
      </c>
      <c r="F752" s="2" t="s">
        <v>70</v>
      </c>
      <c r="G752" s="2" t="s">
        <v>19</v>
      </c>
      <c r="H752" s="2" t="n">
        <v>171.5</v>
      </c>
      <c r="I752" s="2" t="n">
        <v>9.1</v>
      </c>
      <c r="J752" s="2" t="s">
        <v>20</v>
      </c>
      <c r="K752" s="2" t="n">
        <v>5</v>
      </c>
      <c r="L752" s="3" t="n">
        <f aca="false">B752-WEEKDAY(B752,2)+1</f>
        <v>46300</v>
      </c>
      <c r="M752" s="4" t="n">
        <f aca="false">IFERROR(INDEX(02_Parâmetros!$B$14:$B$17,MATCH(C752,02_Parâmetros!$A$14:$A$17,0)),"")</f>
        <v>240</v>
      </c>
      <c r="N752" s="2" t="str">
        <f aca="false">IF(OR(H752="",M752=""),"",IF(H752&lt;=M752,"Sim","Não"))</f>
        <v>Sim</v>
      </c>
    </row>
    <row r="753" customFormat="false" ht="15" hidden="false" customHeight="false" outlineLevel="0" collapsed="false">
      <c r="A753" s="2" t="s">
        <v>790</v>
      </c>
      <c r="B753" s="3" t="n">
        <v>46303</v>
      </c>
      <c r="C753" s="2" t="s">
        <v>44</v>
      </c>
      <c r="D753" s="2" t="s">
        <v>16</v>
      </c>
      <c r="E753" s="2" t="s">
        <v>31</v>
      </c>
      <c r="F753" s="2" t="s">
        <v>24</v>
      </c>
      <c r="G753" s="2" t="s">
        <v>78</v>
      </c>
      <c r="H753" s="2" t="n">
        <v>1.4</v>
      </c>
      <c r="I753" s="2" t="n">
        <v>7.9</v>
      </c>
      <c r="J753" s="2"/>
      <c r="K753" s="2"/>
      <c r="L753" s="3" t="n">
        <f aca="false">B753-WEEKDAY(B753,2)+1</f>
        <v>46300</v>
      </c>
      <c r="M753" s="4" t="n">
        <f aca="false">IFERROR(INDEX(02_Parâmetros!$B$14:$B$17,MATCH(C753,02_Parâmetros!$A$14:$A$17,0)),"")</f>
        <v>2</v>
      </c>
      <c r="N753" s="2" t="str">
        <f aca="false">IF(OR(H753="",M753=""),"",IF(H753&lt;=M753,"Sim","Não"))</f>
        <v>Sim</v>
      </c>
    </row>
    <row r="754" customFormat="false" ht="15" hidden="false" customHeight="false" outlineLevel="0" collapsed="false">
      <c r="A754" s="2" t="s">
        <v>791</v>
      </c>
      <c r="B754" s="3" t="n">
        <v>46303</v>
      </c>
      <c r="C754" s="2" t="s">
        <v>44</v>
      </c>
      <c r="D754" s="2" t="s">
        <v>22</v>
      </c>
      <c r="E754" s="2" t="s">
        <v>23</v>
      </c>
      <c r="F754" s="2" t="s">
        <v>18</v>
      </c>
      <c r="G754" s="2" t="s">
        <v>19</v>
      </c>
      <c r="H754" s="2" t="n">
        <v>1</v>
      </c>
      <c r="I754" s="2" t="n">
        <v>14.2</v>
      </c>
      <c r="J754" s="2" t="s">
        <v>25</v>
      </c>
      <c r="K754" s="2"/>
      <c r="L754" s="3" t="n">
        <f aca="false">B754-WEEKDAY(B754,2)+1</f>
        <v>46300</v>
      </c>
      <c r="M754" s="4" t="n">
        <f aca="false">IFERROR(INDEX(02_Parâmetros!$B$14:$B$17,MATCH(C754,02_Parâmetros!$A$14:$A$17,0)),"")</f>
        <v>2</v>
      </c>
      <c r="N754" s="2" t="str">
        <f aca="false">IF(OR(H754="",M754=""),"",IF(H754&lt;=M754,"Sim","Não"))</f>
        <v>Sim</v>
      </c>
    </row>
    <row r="755" customFormat="false" ht="15" hidden="false" customHeight="false" outlineLevel="0" collapsed="false">
      <c r="A755" s="2" t="s">
        <v>792</v>
      </c>
      <c r="B755" s="3" t="n">
        <v>46303</v>
      </c>
      <c r="C755" s="2" t="s">
        <v>15</v>
      </c>
      <c r="D755" s="2" t="s">
        <v>16</v>
      </c>
      <c r="E755" s="2" t="s">
        <v>31</v>
      </c>
      <c r="F755" s="2" t="s">
        <v>24</v>
      </c>
      <c r="G755" s="2" t="s">
        <v>19</v>
      </c>
      <c r="H755" s="2" t="n">
        <v>0.6</v>
      </c>
      <c r="I755" s="2" t="n">
        <v>17.5</v>
      </c>
      <c r="J755" s="2" t="s">
        <v>25</v>
      </c>
      <c r="K755" s="2"/>
      <c r="L755" s="3" t="n">
        <f aca="false">B755-WEEKDAY(B755,2)+1</f>
        <v>46300</v>
      </c>
      <c r="M755" s="4" t="n">
        <f aca="false">IFERROR(INDEX(02_Parâmetros!$B$14:$B$17,MATCH(C755,02_Parâmetros!$A$14:$A$17,0)),"")</f>
        <v>1</v>
      </c>
      <c r="N755" s="2" t="str">
        <f aca="false">IF(OR(H755="",M755=""),"",IF(H755&lt;=M755,"Sim","Não"))</f>
        <v>Sim</v>
      </c>
    </row>
    <row r="756" customFormat="false" ht="15" hidden="false" customHeight="false" outlineLevel="0" collapsed="false">
      <c r="A756" s="2" t="s">
        <v>793</v>
      </c>
      <c r="B756" s="3" t="n">
        <v>46303</v>
      </c>
      <c r="C756" s="2" t="s">
        <v>27</v>
      </c>
      <c r="D756" s="2" t="s">
        <v>38</v>
      </c>
      <c r="E756" s="2" t="s">
        <v>56</v>
      </c>
      <c r="F756" s="2" t="s">
        <v>18</v>
      </c>
      <c r="G756" s="2" t="s">
        <v>19</v>
      </c>
      <c r="H756" s="2" t="n">
        <v>6.3</v>
      </c>
      <c r="I756" s="2" t="n">
        <v>8.7</v>
      </c>
      <c r="J756" s="2" t="s">
        <v>20</v>
      </c>
      <c r="K756" s="2"/>
      <c r="L756" s="3" t="n">
        <f aca="false">B756-WEEKDAY(B756,2)+1</f>
        <v>46300</v>
      </c>
      <c r="M756" s="4" t="n">
        <f aca="false">IFERROR(INDEX(02_Parâmetros!$B$14:$B$17,MATCH(C756,02_Parâmetros!$A$14:$A$17,0)),"")</f>
        <v>10</v>
      </c>
      <c r="N756" s="2" t="str">
        <f aca="false">IF(OR(H756="",M756=""),"",IF(H756&lt;=M756,"Sim","Não"))</f>
        <v>Sim</v>
      </c>
    </row>
    <row r="757" customFormat="false" ht="15" hidden="false" customHeight="false" outlineLevel="0" collapsed="false">
      <c r="A757" s="2" t="s">
        <v>794</v>
      </c>
      <c r="B757" s="3" t="n">
        <v>46303</v>
      </c>
      <c r="C757" s="2" t="s">
        <v>27</v>
      </c>
      <c r="D757" s="2" t="s">
        <v>22</v>
      </c>
      <c r="E757" s="2" t="s">
        <v>28</v>
      </c>
      <c r="F757" s="2" t="s">
        <v>18</v>
      </c>
      <c r="G757" s="2" t="s">
        <v>19</v>
      </c>
      <c r="H757" s="2" t="n">
        <v>15.5</v>
      </c>
      <c r="I757" s="2" t="n">
        <v>8.4</v>
      </c>
      <c r="J757" s="2" t="s">
        <v>20</v>
      </c>
      <c r="K757" s="2"/>
      <c r="L757" s="3" t="n">
        <f aca="false">B757-WEEKDAY(B757,2)+1</f>
        <v>46300</v>
      </c>
      <c r="M757" s="4" t="n">
        <f aca="false">IFERROR(INDEX(02_Parâmetros!$B$14:$B$17,MATCH(C757,02_Parâmetros!$A$14:$A$17,0)),"")</f>
        <v>10</v>
      </c>
      <c r="N757" s="2" t="str">
        <f aca="false">IF(OR(H757="",M757=""),"",IF(H757&lt;=M757,"Sim","Não"))</f>
        <v>Não</v>
      </c>
    </row>
    <row r="758" customFormat="false" ht="15" hidden="false" customHeight="false" outlineLevel="0" collapsed="false">
      <c r="A758" s="2" t="s">
        <v>795</v>
      </c>
      <c r="B758" s="3" t="n">
        <v>46303</v>
      </c>
      <c r="C758" s="2" t="s">
        <v>41</v>
      </c>
      <c r="D758" s="2" t="s">
        <v>38</v>
      </c>
      <c r="E758" s="2" t="s">
        <v>56</v>
      </c>
      <c r="F758" s="2" t="s">
        <v>24</v>
      </c>
      <c r="G758" s="2" t="s">
        <v>19</v>
      </c>
      <c r="H758" s="2" t="n">
        <v>131.4</v>
      </c>
      <c r="I758" s="2" t="n">
        <v>18.3</v>
      </c>
      <c r="J758" s="2" t="s">
        <v>20</v>
      </c>
      <c r="K758" s="2" t="n">
        <v>5</v>
      </c>
      <c r="L758" s="3" t="n">
        <f aca="false">B758-WEEKDAY(B758,2)+1</f>
        <v>46300</v>
      </c>
      <c r="M758" s="4" t="n">
        <f aca="false">IFERROR(INDEX(02_Parâmetros!$B$14:$B$17,MATCH(C758,02_Parâmetros!$A$14:$A$17,0)),"")</f>
        <v>240</v>
      </c>
      <c r="N758" s="2" t="str">
        <f aca="false">IF(OR(H758="",M758=""),"",IF(H758&lt;=M758,"Sim","Não"))</f>
        <v>Sim</v>
      </c>
    </row>
    <row r="759" customFormat="false" ht="15" hidden="false" customHeight="false" outlineLevel="0" collapsed="false">
      <c r="A759" s="2" t="s">
        <v>796</v>
      </c>
      <c r="B759" s="3" t="n">
        <v>46303</v>
      </c>
      <c r="C759" s="2" t="s">
        <v>41</v>
      </c>
      <c r="D759" s="2" t="s">
        <v>38</v>
      </c>
      <c r="E759" s="2" t="s">
        <v>39</v>
      </c>
      <c r="F759" s="2" t="s">
        <v>18</v>
      </c>
      <c r="G759" s="2" t="s">
        <v>19</v>
      </c>
      <c r="H759" s="2" t="n">
        <v>181.6</v>
      </c>
      <c r="I759" s="2" t="n">
        <v>12</v>
      </c>
      <c r="J759" s="2" t="s">
        <v>20</v>
      </c>
      <c r="K759" s="2"/>
      <c r="L759" s="3" t="n">
        <f aca="false">B759-WEEKDAY(B759,2)+1</f>
        <v>46300</v>
      </c>
      <c r="M759" s="4" t="n">
        <f aca="false">IFERROR(INDEX(02_Parâmetros!$B$14:$B$17,MATCH(C759,02_Parâmetros!$A$14:$A$17,0)),"")</f>
        <v>240</v>
      </c>
      <c r="N759" s="2" t="str">
        <f aca="false">IF(OR(H759="",M759=""),"",IF(H759&lt;=M759,"Sim","Não"))</f>
        <v>Sim</v>
      </c>
    </row>
    <row r="760" customFormat="false" ht="15" hidden="false" customHeight="false" outlineLevel="0" collapsed="false">
      <c r="A760" s="2" t="s">
        <v>797</v>
      </c>
      <c r="B760" s="3" t="n">
        <v>46303</v>
      </c>
      <c r="C760" s="2" t="s">
        <v>15</v>
      </c>
      <c r="D760" s="2" t="s">
        <v>22</v>
      </c>
      <c r="E760" s="2" t="s">
        <v>23</v>
      </c>
      <c r="F760" s="2" t="s">
        <v>70</v>
      </c>
      <c r="G760" s="2" t="s">
        <v>19</v>
      </c>
      <c r="H760" s="2" t="n">
        <v>1.8</v>
      </c>
      <c r="I760" s="2" t="n">
        <v>12.5</v>
      </c>
      <c r="J760" s="2" t="s">
        <v>25</v>
      </c>
      <c r="K760" s="2" t="n">
        <v>5</v>
      </c>
      <c r="L760" s="3" t="n">
        <f aca="false">B760-WEEKDAY(B760,2)+1</f>
        <v>46300</v>
      </c>
      <c r="M760" s="4" t="n">
        <f aca="false">IFERROR(INDEX(02_Parâmetros!$B$14:$B$17,MATCH(C760,02_Parâmetros!$A$14:$A$17,0)),"")</f>
        <v>1</v>
      </c>
      <c r="N760" s="2" t="str">
        <f aca="false">IF(OR(H760="",M760=""),"",IF(H760&lt;=M760,"Sim","Não"))</f>
        <v>Não</v>
      </c>
    </row>
    <row r="761" customFormat="false" ht="15" hidden="false" customHeight="false" outlineLevel="0" collapsed="false">
      <c r="A761" s="2" t="s">
        <v>798</v>
      </c>
      <c r="B761" s="3" t="n">
        <v>46303</v>
      </c>
      <c r="C761" s="2" t="s">
        <v>27</v>
      </c>
      <c r="D761" s="2" t="s">
        <v>16</v>
      </c>
      <c r="E761" s="2" t="s">
        <v>36</v>
      </c>
      <c r="F761" s="2" t="s">
        <v>18</v>
      </c>
      <c r="G761" s="2" t="s">
        <v>19</v>
      </c>
      <c r="H761" s="2" t="n">
        <v>4.9</v>
      </c>
      <c r="I761" s="2" t="n">
        <v>9.7</v>
      </c>
      <c r="J761" s="2" t="s">
        <v>25</v>
      </c>
      <c r="K761" s="2"/>
      <c r="L761" s="3" t="n">
        <f aca="false">B761-WEEKDAY(B761,2)+1</f>
        <v>46300</v>
      </c>
      <c r="M761" s="4" t="n">
        <f aca="false">IFERROR(INDEX(02_Parâmetros!$B$14:$B$17,MATCH(C761,02_Parâmetros!$A$14:$A$17,0)),"")</f>
        <v>10</v>
      </c>
      <c r="N761" s="2" t="str">
        <f aca="false">IF(OR(H761="",M761=""),"",IF(H761&lt;=M761,"Sim","Não"))</f>
        <v>Sim</v>
      </c>
    </row>
    <row r="762" customFormat="false" ht="15" hidden="false" customHeight="false" outlineLevel="0" collapsed="false">
      <c r="A762" s="2" t="s">
        <v>799</v>
      </c>
      <c r="B762" s="3" t="n">
        <v>46303</v>
      </c>
      <c r="C762" s="2" t="s">
        <v>27</v>
      </c>
      <c r="D762" s="2" t="s">
        <v>38</v>
      </c>
      <c r="E762" s="2" t="s">
        <v>39</v>
      </c>
      <c r="F762" s="2" t="s">
        <v>32</v>
      </c>
      <c r="G762" s="2" t="s">
        <v>19</v>
      </c>
      <c r="H762" s="2" t="n">
        <v>8.3</v>
      </c>
      <c r="I762" s="2" t="n">
        <v>5.7</v>
      </c>
      <c r="J762" s="2" t="s">
        <v>20</v>
      </c>
      <c r="K762" s="2" t="n">
        <v>5</v>
      </c>
      <c r="L762" s="3" t="n">
        <f aca="false">B762-WEEKDAY(B762,2)+1</f>
        <v>46300</v>
      </c>
      <c r="M762" s="4" t="n">
        <f aca="false">IFERROR(INDEX(02_Parâmetros!$B$14:$B$17,MATCH(C762,02_Parâmetros!$A$14:$A$17,0)),"")</f>
        <v>10</v>
      </c>
      <c r="N762" s="2" t="str">
        <f aca="false">IF(OR(H762="",M762=""),"",IF(H762&lt;=M762,"Sim","Não"))</f>
        <v>Sim</v>
      </c>
    </row>
    <row r="763" customFormat="false" ht="15" hidden="false" customHeight="false" outlineLevel="0" collapsed="false">
      <c r="A763" s="2" t="s">
        <v>800</v>
      </c>
      <c r="B763" s="3" t="n">
        <v>46304</v>
      </c>
      <c r="C763" s="2" t="s">
        <v>44</v>
      </c>
      <c r="D763" s="2" t="s">
        <v>22</v>
      </c>
      <c r="E763" s="2" t="s">
        <v>28</v>
      </c>
      <c r="F763" s="2" t="s">
        <v>42</v>
      </c>
      <c r="G763" s="2" t="s">
        <v>19</v>
      </c>
      <c r="H763" s="2" t="n">
        <v>5.3</v>
      </c>
      <c r="I763" s="2" t="n">
        <v>7.4</v>
      </c>
      <c r="J763" s="2" t="s">
        <v>20</v>
      </c>
      <c r="K763" s="2" t="n">
        <v>3</v>
      </c>
      <c r="L763" s="3" t="n">
        <f aca="false">B763-WEEKDAY(B763,2)+1</f>
        <v>46300</v>
      </c>
      <c r="M763" s="4" t="n">
        <f aca="false">IFERROR(INDEX(02_Parâmetros!$B$14:$B$17,MATCH(C763,02_Parâmetros!$A$14:$A$17,0)),"")</f>
        <v>2</v>
      </c>
      <c r="N763" s="2" t="str">
        <f aca="false">IF(OR(H763="",M763=""),"",IF(H763&lt;=M763,"Sim","Não"))</f>
        <v>Não</v>
      </c>
    </row>
    <row r="764" customFormat="false" ht="15" hidden="false" customHeight="false" outlineLevel="0" collapsed="false">
      <c r="A764" s="2" t="s">
        <v>801</v>
      </c>
      <c r="B764" s="3" t="n">
        <v>46304</v>
      </c>
      <c r="C764" s="2" t="s">
        <v>27</v>
      </c>
      <c r="D764" s="2" t="s">
        <v>22</v>
      </c>
      <c r="E764" s="2" t="s">
        <v>28</v>
      </c>
      <c r="F764" s="2" t="s">
        <v>32</v>
      </c>
      <c r="G764" s="2" t="s">
        <v>19</v>
      </c>
      <c r="H764" s="2" t="n">
        <v>6.5</v>
      </c>
      <c r="I764" s="2" t="n">
        <v>4.4</v>
      </c>
      <c r="J764" s="2" t="s">
        <v>20</v>
      </c>
      <c r="K764" s="2"/>
      <c r="L764" s="3" t="n">
        <f aca="false">B764-WEEKDAY(B764,2)+1</f>
        <v>46300</v>
      </c>
      <c r="M764" s="4" t="n">
        <f aca="false">IFERROR(INDEX(02_Parâmetros!$B$14:$B$17,MATCH(C764,02_Parâmetros!$A$14:$A$17,0)),"")</f>
        <v>10</v>
      </c>
      <c r="N764" s="2" t="str">
        <f aca="false">IF(OR(H764="",M764=""),"",IF(H764&lt;=M764,"Sim","Não"))</f>
        <v>Sim</v>
      </c>
    </row>
    <row r="765" customFormat="false" ht="15" hidden="false" customHeight="false" outlineLevel="0" collapsed="false">
      <c r="A765" s="2" t="s">
        <v>802</v>
      </c>
      <c r="B765" s="3" t="n">
        <v>46304</v>
      </c>
      <c r="C765" s="2" t="s">
        <v>44</v>
      </c>
      <c r="D765" s="2" t="s">
        <v>22</v>
      </c>
      <c r="E765" s="2" t="s">
        <v>23</v>
      </c>
      <c r="F765" s="2" t="s">
        <v>42</v>
      </c>
      <c r="G765" s="2" t="s">
        <v>19</v>
      </c>
      <c r="H765" s="2" t="n">
        <v>1.8</v>
      </c>
      <c r="I765" s="2" t="n">
        <v>5.3</v>
      </c>
      <c r="J765" s="2" t="s">
        <v>20</v>
      </c>
      <c r="K765" s="2" t="n">
        <v>5</v>
      </c>
      <c r="L765" s="3" t="n">
        <f aca="false">B765-WEEKDAY(B765,2)+1</f>
        <v>46300</v>
      </c>
      <c r="M765" s="4" t="n">
        <f aca="false">IFERROR(INDEX(02_Parâmetros!$B$14:$B$17,MATCH(C765,02_Parâmetros!$A$14:$A$17,0)),"")</f>
        <v>2</v>
      </c>
      <c r="N765" s="2" t="str">
        <f aca="false">IF(OR(H765="",M765=""),"",IF(H765&lt;=M765,"Sim","Não"))</f>
        <v>Sim</v>
      </c>
    </row>
    <row r="766" customFormat="false" ht="15" hidden="false" customHeight="false" outlineLevel="0" collapsed="false">
      <c r="A766" s="2" t="s">
        <v>803</v>
      </c>
      <c r="B766" s="3" t="n">
        <v>46304</v>
      </c>
      <c r="C766" s="2" t="s">
        <v>15</v>
      </c>
      <c r="D766" s="2" t="s">
        <v>38</v>
      </c>
      <c r="E766" s="2" t="s">
        <v>47</v>
      </c>
      <c r="F766" s="2" t="s">
        <v>18</v>
      </c>
      <c r="G766" s="2" t="s">
        <v>19</v>
      </c>
      <c r="H766" s="2" t="n">
        <v>0.6</v>
      </c>
      <c r="I766" s="2" t="n">
        <v>12.9</v>
      </c>
      <c r="J766" s="2" t="s">
        <v>25</v>
      </c>
      <c r="K766" s="2"/>
      <c r="L766" s="3" t="n">
        <f aca="false">B766-WEEKDAY(B766,2)+1</f>
        <v>46300</v>
      </c>
      <c r="M766" s="4" t="n">
        <f aca="false">IFERROR(INDEX(02_Parâmetros!$B$14:$B$17,MATCH(C766,02_Parâmetros!$A$14:$A$17,0)),"")</f>
        <v>1</v>
      </c>
      <c r="N766" s="2" t="str">
        <f aca="false">IF(OR(H766="",M766=""),"",IF(H766&lt;=M766,"Sim","Não"))</f>
        <v>Sim</v>
      </c>
    </row>
    <row r="767" customFormat="false" ht="15" hidden="false" customHeight="false" outlineLevel="0" collapsed="false">
      <c r="A767" s="2" t="s">
        <v>804</v>
      </c>
      <c r="B767" s="3" t="n">
        <v>46304</v>
      </c>
      <c r="C767" s="2" t="s">
        <v>44</v>
      </c>
      <c r="D767" s="2" t="s">
        <v>22</v>
      </c>
      <c r="E767" s="2" t="s">
        <v>28</v>
      </c>
      <c r="F767" s="2" t="s">
        <v>32</v>
      </c>
      <c r="G767" s="2" t="s">
        <v>19</v>
      </c>
      <c r="H767" s="2" t="n">
        <v>1.1</v>
      </c>
      <c r="I767" s="2" t="n">
        <v>5.6</v>
      </c>
      <c r="J767" s="2" t="s">
        <v>20</v>
      </c>
      <c r="K767" s="2"/>
      <c r="L767" s="3" t="n">
        <f aca="false">B767-WEEKDAY(B767,2)+1</f>
        <v>46300</v>
      </c>
      <c r="M767" s="4" t="n">
        <f aca="false">IFERROR(INDEX(02_Parâmetros!$B$14:$B$17,MATCH(C767,02_Parâmetros!$A$14:$A$17,0)),"")</f>
        <v>2</v>
      </c>
      <c r="N767" s="2" t="str">
        <f aca="false">IF(OR(H767="",M767=""),"",IF(H767&lt;=M767,"Sim","Não"))</f>
        <v>Sim</v>
      </c>
    </row>
    <row r="768" customFormat="false" ht="15" hidden="false" customHeight="false" outlineLevel="0" collapsed="false">
      <c r="A768" s="2" t="s">
        <v>805</v>
      </c>
      <c r="B768" s="3" t="n">
        <v>46304</v>
      </c>
      <c r="C768" s="2" t="s">
        <v>41</v>
      </c>
      <c r="D768" s="2" t="s">
        <v>22</v>
      </c>
      <c r="E768" s="2" t="s">
        <v>28</v>
      </c>
      <c r="F768" s="2" t="s">
        <v>24</v>
      </c>
      <c r="G768" s="2" t="s">
        <v>19</v>
      </c>
      <c r="H768" s="2" t="n">
        <v>143.3</v>
      </c>
      <c r="I768" s="2" t="n">
        <v>22.2</v>
      </c>
      <c r="J768" s="2" t="s">
        <v>25</v>
      </c>
      <c r="K768" s="2"/>
      <c r="L768" s="3" t="n">
        <f aca="false">B768-WEEKDAY(B768,2)+1</f>
        <v>46300</v>
      </c>
      <c r="M768" s="4" t="n">
        <f aca="false">IFERROR(INDEX(02_Parâmetros!$B$14:$B$17,MATCH(C768,02_Parâmetros!$A$14:$A$17,0)),"")</f>
        <v>240</v>
      </c>
      <c r="N768" s="2" t="str">
        <f aca="false">IF(OR(H768="",M768=""),"",IF(H768&lt;=M768,"Sim","Não"))</f>
        <v>Sim</v>
      </c>
    </row>
    <row r="769" customFormat="false" ht="15" hidden="false" customHeight="false" outlineLevel="0" collapsed="false">
      <c r="A769" s="2" t="s">
        <v>806</v>
      </c>
      <c r="B769" s="3" t="n">
        <v>46304</v>
      </c>
      <c r="C769" s="2" t="s">
        <v>44</v>
      </c>
      <c r="D769" s="2" t="s">
        <v>16</v>
      </c>
      <c r="E769" s="2" t="s">
        <v>17</v>
      </c>
      <c r="F769" s="2" t="s">
        <v>24</v>
      </c>
      <c r="G769" s="2" t="s">
        <v>19</v>
      </c>
      <c r="H769" s="2" t="n">
        <v>1.3</v>
      </c>
      <c r="I769" s="2" t="n">
        <v>7.5</v>
      </c>
      <c r="J769" s="2" t="s">
        <v>20</v>
      </c>
      <c r="K769" s="2"/>
      <c r="L769" s="3" t="n">
        <f aca="false">B769-WEEKDAY(B769,2)+1</f>
        <v>46300</v>
      </c>
      <c r="M769" s="4" t="n">
        <f aca="false">IFERROR(INDEX(02_Parâmetros!$B$14:$B$17,MATCH(C769,02_Parâmetros!$A$14:$A$17,0)),"")</f>
        <v>2</v>
      </c>
      <c r="N769" s="2" t="str">
        <f aca="false">IF(OR(H769="",M769=""),"",IF(H769&lt;=M769,"Sim","Não"))</f>
        <v>Sim</v>
      </c>
    </row>
    <row r="770" customFormat="false" ht="15" hidden="false" customHeight="false" outlineLevel="0" collapsed="false">
      <c r="A770" s="2" t="s">
        <v>807</v>
      </c>
      <c r="B770" s="3" t="n">
        <v>46304</v>
      </c>
      <c r="C770" s="2" t="s">
        <v>27</v>
      </c>
      <c r="D770" s="2" t="s">
        <v>38</v>
      </c>
      <c r="E770" s="2" t="s">
        <v>39</v>
      </c>
      <c r="F770" s="2" t="s">
        <v>70</v>
      </c>
      <c r="G770" s="2" t="s">
        <v>19</v>
      </c>
      <c r="H770" s="2" t="n">
        <v>8.1</v>
      </c>
      <c r="I770" s="2" t="n">
        <v>6.6</v>
      </c>
      <c r="J770" s="2" t="s">
        <v>25</v>
      </c>
      <c r="K770" s="2" t="n">
        <v>4</v>
      </c>
      <c r="L770" s="3" t="n">
        <f aca="false">B770-WEEKDAY(B770,2)+1</f>
        <v>46300</v>
      </c>
      <c r="M770" s="4" t="n">
        <f aca="false">IFERROR(INDEX(02_Parâmetros!$B$14:$B$17,MATCH(C770,02_Parâmetros!$A$14:$A$17,0)),"")</f>
        <v>10</v>
      </c>
      <c r="N770" s="2" t="str">
        <f aca="false">IF(OR(H770="",M770=""),"",IF(H770&lt;=M770,"Sim","Não"))</f>
        <v>Sim</v>
      </c>
    </row>
    <row r="771" customFormat="false" ht="15" hidden="false" customHeight="false" outlineLevel="0" collapsed="false">
      <c r="A771" s="2" t="s">
        <v>808</v>
      </c>
      <c r="B771" s="3" t="n">
        <v>46304</v>
      </c>
      <c r="C771" s="2" t="s">
        <v>44</v>
      </c>
      <c r="D771" s="2" t="s">
        <v>16</v>
      </c>
      <c r="E771" s="2" t="s">
        <v>17</v>
      </c>
      <c r="F771" s="2" t="s">
        <v>42</v>
      </c>
      <c r="G771" s="2" t="s">
        <v>19</v>
      </c>
      <c r="H771" s="2" t="n">
        <v>1.3</v>
      </c>
      <c r="I771" s="2" t="n">
        <v>5.9</v>
      </c>
      <c r="J771" s="2" t="s">
        <v>20</v>
      </c>
      <c r="K771" s="2"/>
      <c r="L771" s="3" t="n">
        <f aca="false">B771-WEEKDAY(B771,2)+1</f>
        <v>46300</v>
      </c>
      <c r="M771" s="4" t="n">
        <f aca="false">IFERROR(INDEX(02_Parâmetros!$B$14:$B$17,MATCH(C771,02_Parâmetros!$A$14:$A$17,0)),"")</f>
        <v>2</v>
      </c>
      <c r="N771" s="2" t="str">
        <f aca="false">IF(OR(H771="",M771=""),"",IF(H771&lt;=M771,"Sim","Não"))</f>
        <v>Sim</v>
      </c>
    </row>
    <row r="772" customFormat="false" ht="15" hidden="false" customHeight="false" outlineLevel="0" collapsed="false">
      <c r="A772" s="2" t="s">
        <v>809</v>
      </c>
      <c r="B772" s="3" t="n">
        <v>46304</v>
      </c>
      <c r="C772" s="2" t="s">
        <v>41</v>
      </c>
      <c r="D772" s="2" t="s">
        <v>38</v>
      </c>
      <c r="E772" s="2" t="s">
        <v>39</v>
      </c>
      <c r="F772" s="2" t="s">
        <v>18</v>
      </c>
      <c r="G772" s="2" t="s">
        <v>19</v>
      </c>
      <c r="H772" s="2" t="n">
        <v>111.3</v>
      </c>
      <c r="I772" s="2" t="n">
        <v>13.2</v>
      </c>
      <c r="J772" s="2" t="s">
        <v>20</v>
      </c>
      <c r="K772" s="2"/>
      <c r="L772" s="3" t="n">
        <f aca="false">B772-WEEKDAY(B772,2)+1</f>
        <v>46300</v>
      </c>
      <c r="M772" s="4" t="n">
        <f aca="false">IFERROR(INDEX(02_Parâmetros!$B$14:$B$17,MATCH(C772,02_Parâmetros!$A$14:$A$17,0)),"")</f>
        <v>240</v>
      </c>
      <c r="N772" s="2" t="str">
        <f aca="false">IF(OR(H772="",M772=""),"",IF(H772&lt;=M772,"Sim","Não"))</f>
        <v>Sim</v>
      </c>
    </row>
    <row r="773" customFormat="false" ht="15" hidden="false" customHeight="false" outlineLevel="0" collapsed="false">
      <c r="A773" s="2" t="s">
        <v>810</v>
      </c>
      <c r="B773" s="3" t="n">
        <v>46304</v>
      </c>
      <c r="C773" s="2" t="s">
        <v>44</v>
      </c>
      <c r="D773" s="2" t="s">
        <v>38</v>
      </c>
      <c r="E773" s="2" t="s">
        <v>47</v>
      </c>
      <c r="F773" s="2" t="s">
        <v>42</v>
      </c>
      <c r="G773" s="2" t="s">
        <v>19</v>
      </c>
      <c r="H773" s="2" t="n">
        <v>0.7</v>
      </c>
      <c r="I773" s="2" t="n">
        <v>10</v>
      </c>
      <c r="J773" s="2" t="s">
        <v>20</v>
      </c>
      <c r="K773" s="2"/>
      <c r="L773" s="3" t="n">
        <f aca="false">B773-WEEKDAY(B773,2)+1</f>
        <v>46300</v>
      </c>
      <c r="M773" s="4" t="n">
        <f aca="false">IFERROR(INDEX(02_Parâmetros!$B$14:$B$17,MATCH(C773,02_Parâmetros!$A$14:$A$17,0)),"")</f>
        <v>2</v>
      </c>
      <c r="N773" s="2" t="str">
        <f aca="false">IF(OR(H773="",M773=""),"",IF(H773&lt;=M773,"Sim","Não"))</f>
        <v>Sim</v>
      </c>
    </row>
    <row r="774" customFormat="false" ht="15" hidden="false" customHeight="false" outlineLevel="0" collapsed="false">
      <c r="A774" s="2" t="s">
        <v>811</v>
      </c>
      <c r="B774" s="3" t="n">
        <v>46304</v>
      </c>
      <c r="C774" s="2" t="s">
        <v>27</v>
      </c>
      <c r="D774" s="2" t="s">
        <v>16</v>
      </c>
      <c r="E774" s="2" t="s">
        <v>17</v>
      </c>
      <c r="F774" s="2" t="s">
        <v>18</v>
      </c>
      <c r="G774" s="2" t="s">
        <v>19</v>
      </c>
      <c r="H774" s="2" t="n">
        <v>6.2</v>
      </c>
      <c r="I774" s="2" t="n">
        <v>9</v>
      </c>
      <c r="J774" s="2" t="s">
        <v>20</v>
      </c>
      <c r="K774" s="2"/>
      <c r="L774" s="3" t="n">
        <f aca="false">B774-WEEKDAY(B774,2)+1</f>
        <v>46300</v>
      </c>
      <c r="M774" s="4" t="n">
        <f aca="false">IFERROR(INDEX(02_Parâmetros!$B$14:$B$17,MATCH(C774,02_Parâmetros!$A$14:$A$17,0)),"")</f>
        <v>10</v>
      </c>
      <c r="N774" s="2" t="str">
        <f aca="false">IF(OR(H774="",M774=""),"",IF(H774&lt;=M774,"Sim","Não"))</f>
        <v>Sim</v>
      </c>
    </row>
    <row r="775" customFormat="false" ht="15" hidden="false" customHeight="false" outlineLevel="0" collapsed="false">
      <c r="A775" s="2" t="s">
        <v>812</v>
      </c>
      <c r="B775" s="3" t="n">
        <v>46304</v>
      </c>
      <c r="C775" s="2" t="s">
        <v>27</v>
      </c>
      <c r="D775" s="2" t="s">
        <v>38</v>
      </c>
      <c r="E775" s="2" t="s">
        <v>39</v>
      </c>
      <c r="F775" s="2" t="s">
        <v>18</v>
      </c>
      <c r="G775" s="2" t="s">
        <v>19</v>
      </c>
      <c r="H775" s="2" t="n">
        <v>28.2</v>
      </c>
      <c r="I775" s="2" t="n">
        <v>5.5</v>
      </c>
      <c r="J775" s="2" t="s">
        <v>25</v>
      </c>
      <c r="K775" s="2"/>
      <c r="L775" s="3" t="n">
        <f aca="false">B775-WEEKDAY(B775,2)+1</f>
        <v>46300</v>
      </c>
      <c r="M775" s="4" t="n">
        <f aca="false">IFERROR(INDEX(02_Parâmetros!$B$14:$B$17,MATCH(C775,02_Parâmetros!$A$14:$A$17,0)),"")</f>
        <v>10</v>
      </c>
      <c r="N775" s="2" t="str">
        <f aca="false">IF(OR(H775="",M775=""),"",IF(H775&lt;=M775,"Sim","Não"))</f>
        <v>Não</v>
      </c>
    </row>
    <row r="776" customFormat="false" ht="15" hidden="false" customHeight="false" outlineLevel="0" collapsed="false">
      <c r="A776" s="2" t="s">
        <v>813</v>
      </c>
      <c r="B776" s="3" t="n">
        <v>46304</v>
      </c>
      <c r="C776" s="2" t="s">
        <v>27</v>
      </c>
      <c r="D776" s="2" t="s">
        <v>38</v>
      </c>
      <c r="E776" s="2" t="s">
        <v>39</v>
      </c>
      <c r="F776" s="2" t="s">
        <v>18</v>
      </c>
      <c r="G776" s="2" t="s">
        <v>19</v>
      </c>
      <c r="H776" s="2" t="n">
        <v>7.5</v>
      </c>
      <c r="I776" s="2" t="n">
        <v>5.3</v>
      </c>
      <c r="J776" s="2" t="s">
        <v>20</v>
      </c>
      <c r="K776" s="2"/>
      <c r="L776" s="3" t="n">
        <f aca="false">B776-WEEKDAY(B776,2)+1</f>
        <v>46300</v>
      </c>
      <c r="M776" s="4" t="n">
        <f aca="false">IFERROR(INDEX(02_Parâmetros!$B$14:$B$17,MATCH(C776,02_Parâmetros!$A$14:$A$17,0)),"")</f>
        <v>10</v>
      </c>
      <c r="N776" s="2" t="str">
        <f aca="false">IF(OR(H776="",M776=""),"",IF(H776&lt;=M776,"Sim","Não"))</f>
        <v>Sim</v>
      </c>
    </row>
    <row r="777" customFormat="false" ht="15" hidden="false" customHeight="false" outlineLevel="0" collapsed="false">
      <c r="A777" s="2" t="s">
        <v>814</v>
      </c>
      <c r="B777" s="3" t="n">
        <v>46304</v>
      </c>
      <c r="C777" s="2" t="s">
        <v>41</v>
      </c>
      <c r="D777" s="2" t="s">
        <v>22</v>
      </c>
      <c r="E777" s="2" t="s">
        <v>23</v>
      </c>
      <c r="F777" s="2" t="s">
        <v>24</v>
      </c>
      <c r="G777" s="2" t="s">
        <v>19</v>
      </c>
      <c r="H777" s="2" t="n">
        <v>225.2</v>
      </c>
      <c r="I777" s="2" t="n">
        <v>9</v>
      </c>
      <c r="J777" s="2" t="s">
        <v>25</v>
      </c>
      <c r="K777" s="2" t="n">
        <v>1</v>
      </c>
      <c r="L777" s="3" t="n">
        <f aca="false">B777-WEEKDAY(B777,2)+1</f>
        <v>46300</v>
      </c>
      <c r="M777" s="4" t="n">
        <f aca="false">IFERROR(INDEX(02_Parâmetros!$B$14:$B$17,MATCH(C777,02_Parâmetros!$A$14:$A$17,0)),"")</f>
        <v>240</v>
      </c>
      <c r="N777" s="2" t="str">
        <f aca="false">IF(OR(H777="",M777=""),"",IF(H777&lt;=M777,"Sim","Não"))</f>
        <v>Sim</v>
      </c>
    </row>
    <row r="778" customFormat="false" ht="15" hidden="false" customHeight="false" outlineLevel="0" collapsed="false">
      <c r="A778" s="2" t="s">
        <v>815</v>
      </c>
      <c r="B778" s="3" t="n">
        <v>46304</v>
      </c>
      <c r="C778" s="2" t="s">
        <v>15</v>
      </c>
      <c r="D778" s="2" t="s">
        <v>38</v>
      </c>
      <c r="E778" s="2" t="s">
        <v>47</v>
      </c>
      <c r="F778" s="2" t="s">
        <v>18</v>
      </c>
      <c r="G778" s="2" t="s">
        <v>19</v>
      </c>
      <c r="H778" s="2" t="n">
        <v>3</v>
      </c>
      <c r="I778" s="2" t="n">
        <v>16.8</v>
      </c>
      <c r="J778" s="2" t="s">
        <v>25</v>
      </c>
      <c r="K778" s="2"/>
      <c r="L778" s="3" t="n">
        <f aca="false">B778-WEEKDAY(B778,2)+1</f>
        <v>46300</v>
      </c>
      <c r="M778" s="4" t="n">
        <f aca="false">IFERROR(INDEX(02_Parâmetros!$B$14:$B$17,MATCH(C778,02_Parâmetros!$A$14:$A$17,0)),"")</f>
        <v>1</v>
      </c>
      <c r="N778" s="2" t="str">
        <f aca="false">IF(OR(H778="",M778=""),"",IF(H778&lt;=M778,"Sim","Não"))</f>
        <v>Não</v>
      </c>
    </row>
    <row r="779" customFormat="false" ht="15" hidden="false" customHeight="false" outlineLevel="0" collapsed="false">
      <c r="A779" s="2" t="s">
        <v>816</v>
      </c>
      <c r="B779" s="3" t="n">
        <v>46304</v>
      </c>
      <c r="C779" s="2" t="s">
        <v>41</v>
      </c>
      <c r="D779" s="2" t="s">
        <v>22</v>
      </c>
      <c r="E779" s="2" t="s">
        <v>28</v>
      </c>
      <c r="F779" s="2" t="s">
        <v>42</v>
      </c>
      <c r="G779" s="2" t="s">
        <v>19</v>
      </c>
      <c r="H779" s="2" t="n">
        <v>99.8</v>
      </c>
      <c r="I779" s="2" t="n">
        <v>13.3</v>
      </c>
      <c r="J779" s="2" t="s">
        <v>20</v>
      </c>
      <c r="K779" s="2"/>
      <c r="L779" s="3" t="n">
        <f aca="false">B779-WEEKDAY(B779,2)+1</f>
        <v>46300</v>
      </c>
      <c r="M779" s="4" t="n">
        <f aca="false">IFERROR(INDEX(02_Parâmetros!$B$14:$B$17,MATCH(C779,02_Parâmetros!$A$14:$A$17,0)),"")</f>
        <v>240</v>
      </c>
      <c r="N779" s="2" t="str">
        <f aca="false">IF(OR(H779="",M779=""),"",IF(H779&lt;=M779,"Sim","Não"))</f>
        <v>Sim</v>
      </c>
    </row>
    <row r="780" customFormat="false" ht="15" hidden="false" customHeight="false" outlineLevel="0" collapsed="false">
      <c r="A780" s="2" t="s">
        <v>817</v>
      </c>
      <c r="B780" s="3" t="n">
        <v>46304</v>
      </c>
      <c r="C780" s="2" t="s">
        <v>27</v>
      </c>
      <c r="D780" s="2" t="s">
        <v>22</v>
      </c>
      <c r="E780" s="2" t="s">
        <v>28</v>
      </c>
      <c r="F780" s="2" t="s">
        <v>34</v>
      </c>
      <c r="G780" s="2" t="s">
        <v>19</v>
      </c>
      <c r="H780" s="2" t="n">
        <v>9.7</v>
      </c>
      <c r="I780" s="2" t="n">
        <v>6.9</v>
      </c>
      <c r="J780" s="2" t="s">
        <v>25</v>
      </c>
      <c r="K780" s="2"/>
      <c r="L780" s="3" t="n">
        <f aca="false">B780-WEEKDAY(B780,2)+1</f>
        <v>46300</v>
      </c>
      <c r="M780" s="4" t="n">
        <f aca="false">IFERROR(INDEX(02_Parâmetros!$B$14:$B$17,MATCH(C780,02_Parâmetros!$A$14:$A$17,0)),"")</f>
        <v>10</v>
      </c>
      <c r="N780" s="2" t="str">
        <f aca="false">IF(OR(H780="",M780=""),"",IF(H780&lt;=M780,"Sim","Não"))</f>
        <v>Sim</v>
      </c>
    </row>
    <row r="781" customFormat="false" ht="15" hidden="false" customHeight="false" outlineLevel="0" collapsed="false">
      <c r="A781" s="2" t="s">
        <v>818</v>
      </c>
      <c r="B781" s="3" t="n">
        <v>46304</v>
      </c>
      <c r="C781" s="2" t="s">
        <v>15</v>
      </c>
      <c r="D781" s="2" t="s">
        <v>38</v>
      </c>
      <c r="E781" s="2" t="s">
        <v>39</v>
      </c>
      <c r="F781" s="2" t="s">
        <v>70</v>
      </c>
      <c r="G781" s="2" t="s">
        <v>19</v>
      </c>
      <c r="H781" s="2" t="n">
        <v>0.6</v>
      </c>
      <c r="I781" s="2" t="n">
        <v>13.1</v>
      </c>
      <c r="J781" s="2" t="s">
        <v>20</v>
      </c>
      <c r="K781" s="2" t="n">
        <v>5</v>
      </c>
      <c r="L781" s="3" t="n">
        <f aca="false">B781-WEEKDAY(B781,2)+1</f>
        <v>46300</v>
      </c>
      <c r="M781" s="4" t="n">
        <f aca="false">IFERROR(INDEX(02_Parâmetros!$B$14:$B$17,MATCH(C781,02_Parâmetros!$A$14:$A$17,0)),"")</f>
        <v>1</v>
      </c>
      <c r="N781" s="2" t="str">
        <f aca="false">IF(OR(H781="",M781=""),"",IF(H781&lt;=M781,"Sim","Não"))</f>
        <v>Sim</v>
      </c>
    </row>
    <row r="782" customFormat="false" ht="15" hidden="false" customHeight="false" outlineLevel="0" collapsed="false">
      <c r="A782" s="2" t="s">
        <v>819</v>
      </c>
      <c r="B782" s="3" t="n">
        <v>46304</v>
      </c>
      <c r="C782" s="2" t="s">
        <v>44</v>
      </c>
      <c r="D782" s="2" t="s">
        <v>22</v>
      </c>
      <c r="E782" s="2" t="s">
        <v>28</v>
      </c>
      <c r="F782" s="2" t="s">
        <v>18</v>
      </c>
      <c r="G782" s="2" t="s">
        <v>19</v>
      </c>
      <c r="H782" s="2" t="n">
        <v>0.5</v>
      </c>
      <c r="I782" s="2" t="n">
        <v>6.2</v>
      </c>
      <c r="J782" s="2" t="s">
        <v>25</v>
      </c>
      <c r="K782" s="2"/>
      <c r="L782" s="3" t="n">
        <f aca="false">B782-WEEKDAY(B782,2)+1</f>
        <v>46300</v>
      </c>
      <c r="M782" s="4" t="n">
        <f aca="false">IFERROR(INDEX(02_Parâmetros!$B$14:$B$17,MATCH(C782,02_Parâmetros!$A$14:$A$17,0)),"")</f>
        <v>2</v>
      </c>
      <c r="N782" s="2" t="str">
        <f aca="false">IF(OR(H782="",M782=""),"",IF(H782&lt;=M782,"Sim","Não"))</f>
        <v>Sim</v>
      </c>
    </row>
    <row r="783" customFormat="false" ht="15" hidden="false" customHeight="false" outlineLevel="0" collapsed="false">
      <c r="A783" s="2" t="s">
        <v>820</v>
      </c>
      <c r="B783" s="3" t="n">
        <v>46304</v>
      </c>
      <c r="C783" s="2" t="s">
        <v>41</v>
      </c>
      <c r="D783" s="2" t="s">
        <v>22</v>
      </c>
      <c r="E783" s="2" t="s">
        <v>28</v>
      </c>
      <c r="F783" s="2" t="s">
        <v>42</v>
      </c>
      <c r="G783" s="2" t="s">
        <v>19</v>
      </c>
      <c r="H783" s="2" t="n">
        <v>209.2</v>
      </c>
      <c r="I783" s="2" t="n">
        <v>10.1</v>
      </c>
      <c r="J783" s="2" t="s">
        <v>20</v>
      </c>
      <c r="K783" s="2"/>
      <c r="L783" s="3" t="n">
        <f aca="false">B783-WEEKDAY(B783,2)+1</f>
        <v>46300</v>
      </c>
      <c r="M783" s="4" t="n">
        <f aca="false">IFERROR(INDEX(02_Parâmetros!$B$14:$B$17,MATCH(C783,02_Parâmetros!$A$14:$A$17,0)),"")</f>
        <v>240</v>
      </c>
      <c r="N783" s="2" t="str">
        <f aca="false">IF(OR(H783="",M783=""),"",IF(H783&lt;=M783,"Sim","Não"))</f>
        <v>Sim</v>
      </c>
    </row>
    <row r="784" customFormat="false" ht="15" hidden="false" customHeight="false" outlineLevel="0" collapsed="false">
      <c r="A784" s="2" t="s">
        <v>821</v>
      </c>
      <c r="B784" s="3" t="n">
        <v>46304</v>
      </c>
      <c r="C784" s="2" t="s">
        <v>27</v>
      </c>
      <c r="D784" s="2" t="s">
        <v>16</v>
      </c>
      <c r="E784" s="2" t="s">
        <v>31</v>
      </c>
      <c r="F784" s="2" t="s">
        <v>70</v>
      </c>
      <c r="G784" s="2" t="s">
        <v>19</v>
      </c>
      <c r="H784" s="2" t="n">
        <v>3</v>
      </c>
      <c r="I784" s="2" t="n">
        <v>6.4</v>
      </c>
      <c r="J784" s="2" t="s">
        <v>20</v>
      </c>
      <c r="K784" s="2" t="n">
        <v>5</v>
      </c>
      <c r="L784" s="3" t="n">
        <f aca="false">B784-WEEKDAY(B784,2)+1</f>
        <v>46300</v>
      </c>
      <c r="M784" s="4" t="n">
        <f aca="false">IFERROR(INDEX(02_Parâmetros!$B$14:$B$17,MATCH(C784,02_Parâmetros!$A$14:$A$17,0)),"")</f>
        <v>10</v>
      </c>
      <c r="N784" s="2" t="str">
        <f aca="false">IF(OR(H784="",M784=""),"",IF(H784&lt;=M784,"Sim","Não"))</f>
        <v>Sim</v>
      </c>
    </row>
    <row r="785" customFormat="false" ht="15" hidden="false" customHeight="false" outlineLevel="0" collapsed="false">
      <c r="A785" s="2" t="s">
        <v>822</v>
      </c>
      <c r="B785" s="3" t="n">
        <v>46304</v>
      </c>
      <c r="C785" s="2" t="s">
        <v>27</v>
      </c>
      <c r="D785" s="2" t="s">
        <v>16</v>
      </c>
      <c r="E785" s="2" t="s">
        <v>31</v>
      </c>
      <c r="F785" s="2" t="s">
        <v>24</v>
      </c>
      <c r="G785" s="2" t="s">
        <v>19</v>
      </c>
      <c r="H785" s="2" t="n">
        <v>2.6</v>
      </c>
      <c r="I785" s="2" t="n">
        <v>8.7</v>
      </c>
      <c r="J785" s="2" t="s">
        <v>20</v>
      </c>
      <c r="K785" s="2" t="n">
        <v>5</v>
      </c>
      <c r="L785" s="3" t="n">
        <f aca="false">B785-WEEKDAY(B785,2)+1</f>
        <v>46300</v>
      </c>
      <c r="M785" s="4" t="n">
        <f aca="false">IFERROR(INDEX(02_Parâmetros!$B$14:$B$17,MATCH(C785,02_Parâmetros!$A$14:$A$17,0)),"")</f>
        <v>10</v>
      </c>
      <c r="N785" s="2" t="str">
        <f aca="false">IF(OR(H785="",M785=""),"",IF(H785&lt;=M785,"Sim","Não"))</f>
        <v>Sim</v>
      </c>
    </row>
    <row r="786" customFormat="false" ht="15" hidden="false" customHeight="false" outlineLevel="0" collapsed="false">
      <c r="A786" s="2" t="s">
        <v>823</v>
      </c>
      <c r="B786" s="3" t="n">
        <v>46304</v>
      </c>
      <c r="C786" s="2" t="s">
        <v>41</v>
      </c>
      <c r="D786" s="2" t="s">
        <v>38</v>
      </c>
      <c r="E786" s="2" t="s">
        <v>47</v>
      </c>
      <c r="F786" s="2" t="s">
        <v>24</v>
      </c>
      <c r="G786" s="2" t="s">
        <v>19</v>
      </c>
      <c r="H786" s="2" t="n">
        <v>185</v>
      </c>
      <c r="I786" s="2" t="n">
        <v>15.6</v>
      </c>
      <c r="J786" s="2" t="s">
        <v>20</v>
      </c>
      <c r="K786" s="2"/>
      <c r="L786" s="3" t="n">
        <f aca="false">B786-WEEKDAY(B786,2)+1</f>
        <v>46300</v>
      </c>
      <c r="M786" s="4" t="n">
        <f aca="false">IFERROR(INDEX(02_Parâmetros!$B$14:$B$17,MATCH(C786,02_Parâmetros!$A$14:$A$17,0)),"")</f>
        <v>240</v>
      </c>
      <c r="N786" s="2" t="str">
        <f aca="false">IF(OR(H786="",M786=""),"",IF(H786&lt;=M786,"Sim","Não"))</f>
        <v>Sim</v>
      </c>
    </row>
    <row r="787" customFormat="false" ht="15" hidden="false" customHeight="false" outlineLevel="0" collapsed="false">
      <c r="A787" s="2" t="s">
        <v>824</v>
      </c>
      <c r="B787" s="3" t="n">
        <v>46307</v>
      </c>
      <c r="C787" s="2" t="s">
        <v>41</v>
      </c>
      <c r="D787" s="2" t="s">
        <v>16</v>
      </c>
      <c r="E787" s="2" t="s">
        <v>36</v>
      </c>
      <c r="F787" s="2" t="s">
        <v>24</v>
      </c>
      <c r="G787" s="2" t="s">
        <v>19</v>
      </c>
      <c r="H787" s="2" t="n">
        <v>69.4</v>
      </c>
      <c r="I787" s="2" t="n">
        <v>14</v>
      </c>
      <c r="J787" s="2" t="s">
        <v>25</v>
      </c>
      <c r="K787" s="2"/>
      <c r="L787" s="3" t="n">
        <f aca="false">B787-WEEKDAY(B787,2)+1</f>
        <v>46307</v>
      </c>
      <c r="M787" s="4" t="n">
        <f aca="false">IFERROR(INDEX(02_Parâmetros!$B$14:$B$17,MATCH(C787,02_Parâmetros!$A$14:$A$17,0)),"")</f>
        <v>240</v>
      </c>
      <c r="N787" s="2" t="str">
        <f aca="false">IF(OR(H787="",M787=""),"",IF(H787&lt;=M787,"Sim","Não"))</f>
        <v>Sim</v>
      </c>
    </row>
    <row r="788" customFormat="false" ht="15" hidden="false" customHeight="false" outlineLevel="0" collapsed="false">
      <c r="A788" s="2" t="s">
        <v>825</v>
      </c>
      <c r="B788" s="3" t="n">
        <v>46307</v>
      </c>
      <c r="C788" s="2" t="s">
        <v>41</v>
      </c>
      <c r="D788" s="2" t="s">
        <v>16</v>
      </c>
      <c r="E788" s="2" t="s">
        <v>31</v>
      </c>
      <c r="F788" s="2" t="s">
        <v>70</v>
      </c>
      <c r="G788" s="2" t="s">
        <v>19</v>
      </c>
      <c r="H788" s="2" t="n">
        <v>216.7</v>
      </c>
      <c r="I788" s="2" t="n">
        <v>11.9</v>
      </c>
      <c r="J788" s="2" t="s">
        <v>20</v>
      </c>
      <c r="K788" s="2" t="n">
        <v>3</v>
      </c>
      <c r="L788" s="3" t="n">
        <f aca="false">B788-WEEKDAY(B788,2)+1</f>
        <v>46307</v>
      </c>
      <c r="M788" s="4" t="n">
        <f aca="false">IFERROR(INDEX(02_Parâmetros!$B$14:$B$17,MATCH(C788,02_Parâmetros!$A$14:$A$17,0)),"")</f>
        <v>240</v>
      </c>
      <c r="N788" s="2" t="str">
        <f aca="false">IF(OR(H788="",M788=""),"",IF(H788&lt;=M788,"Sim","Não"))</f>
        <v>Sim</v>
      </c>
    </row>
    <row r="789" customFormat="false" ht="15" hidden="false" customHeight="false" outlineLevel="0" collapsed="false">
      <c r="A789" s="2" t="s">
        <v>826</v>
      </c>
      <c r="B789" s="3" t="n">
        <v>46307</v>
      </c>
      <c r="C789" s="2" t="s">
        <v>27</v>
      </c>
      <c r="D789" s="2" t="s">
        <v>16</v>
      </c>
      <c r="E789" s="2" t="s">
        <v>31</v>
      </c>
      <c r="F789" s="2" t="s">
        <v>18</v>
      </c>
      <c r="G789" s="2" t="s">
        <v>19</v>
      </c>
      <c r="H789" s="2" t="n">
        <v>4.7</v>
      </c>
      <c r="I789" s="2" t="n">
        <v>8.2</v>
      </c>
      <c r="J789" s="2" t="s">
        <v>20</v>
      </c>
      <c r="K789" s="2" t="n">
        <v>4</v>
      </c>
      <c r="L789" s="3" t="n">
        <f aca="false">B789-WEEKDAY(B789,2)+1</f>
        <v>46307</v>
      </c>
      <c r="M789" s="4" t="n">
        <f aca="false">IFERROR(INDEX(02_Parâmetros!$B$14:$B$17,MATCH(C789,02_Parâmetros!$A$14:$A$17,0)),"")</f>
        <v>10</v>
      </c>
      <c r="N789" s="2" t="str">
        <f aca="false">IF(OR(H789="",M789=""),"",IF(H789&lt;=M789,"Sim","Não"))</f>
        <v>Sim</v>
      </c>
    </row>
    <row r="790" customFormat="false" ht="15" hidden="false" customHeight="false" outlineLevel="0" collapsed="false">
      <c r="A790" s="2" t="s">
        <v>827</v>
      </c>
      <c r="B790" s="3" t="n">
        <v>46307</v>
      </c>
      <c r="C790" s="2" t="s">
        <v>44</v>
      </c>
      <c r="D790" s="2" t="s">
        <v>22</v>
      </c>
      <c r="E790" s="2" t="s">
        <v>28</v>
      </c>
      <c r="F790" s="2" t="s">
        <v>18</v>
      </c>
      <c r="G790" s="2" t="s">
        <v>19</v>
      </c>
      <c r="H790" s="2" t="n">
        <v>1.8</v>
      </c>
      <c r="I790" s="2" t="n">
        <v>8.3</v>
      </c>
      <c r="J790" s="2" t="s">
        <v>25</v>
      </c>
      <c r="K790" s="2"/>
      <c r="L790" s="3" t="n">
        <f aca="false">B790-WEEKDAY(B790,2)+1</f>
        <v>46307</v>
      </c>
      <c r="M790" s="4" t="n">
        <f aca="false">IFERROR(INDEX(02_Parâmetros!$B$14:$B$17,MATCH(C790,02_Parâmetros!$A$14:$A$17,0)),"")</f>
        <v>2</v>
      </c>
      <c r="N790" s="2" t="str">
        <f aca="false">IF(OR(H790="",M790=""),"",IF(H790&lt;=M790,"Sim","Não"))</f>
        <v>Sim</v>
      </c>
    </row>
    <row r="791" customFormat="false" ht="15" hidden="false" customHeight="false" outlineLevel="0" collapsed="false">
      <c r="A791" s="2" t="s">
        <v>828</v>
      </c>
      <c r="B791" s="3" t="n">
        <v>46307</v>
      </c>
      <c r="C791" s="2" t="s">
        <v>41</v>
      </c>
      <c r="D791" s="2" t="s">
        <v>38</v>
      </c>
      <c r="E791" s="2" t="s">
        <v>56</v>
      </c>
      <c r="F791" s="2" t="s">
        <v>42</v>
      </c>
      <c r="G791" s="2" t="s">
        <v>19</v>
      </c>
      <c r="H791" s="2" t="n">
        <v>96.2</v>
      </c>
      <c r="I791" s="2" t="n">
        <v>13.9</v>
      </c>
      <c r="J791" s="2" t="s">
        <v>20</v>
      </c>
      <c r="K791" s="2"/>
      <c r="L791" s="3" t="n">
        <f aca="false">B791-WEEKDAY(B791,2)+1</f>
        <v>46307</v>
      </c>
      <c r="M791" s="4" t="n">
        <f aca="false">IFERROR(INDEX(02_Parâmetros!$B$14:$B$17,MATCH(C791,02_Parâmetros!$A$14:$A$17,0)),"")</f>
        <v>240</v>
      </c>
      <c r="N791" s="2" t="str">
        <f aca="false">IF(OR(H791="",M791=""),"",IF(H791&lt;=M791,"Sim","Não"))</f>
        <v>Sim</v>
      </c>
    </row>
    <row r="792" customFormat="false" ht="15" hidden="false" customHeight="false" outlineLevel="0" collapsed="false">
      <c r="A792" s="2" t="s">
        <v>829</v>
      </c>
      <c r="B792" s="3" t="n">
        <v>46307</v>
      </c>
      <c r="C792" s="2" t="s">
        <v>15</v>
      </c>
      <c r="D792" s="2" t="s">
        <v>22</v>
      </c>
      <c r="E792" s="2" t="s">
        <v>28</v>
      </c>
      <c r="F792" s="2" t="s">
        <v>18</v>
      </c>
      <c r="G792" s="2" t="s">
        <v>19</v>
      </c>
      <c r="H792" s="2"/>
      <c r="I792" s="2" t="n">
        <v>12.8</v>
      </c>
      <c r="J792" s="2" t="s">
        <v>20</v>
      </c>
      <c r="K792" s="2"/>
      <c r="L792" s="3" t="n">
        <f aca="false">B792-WEEKDAY(B792,2)+1</f>
        <v>46307</v>
      </c>
      <c r="M792" s="4" t="n">
        <f aca="false">IFERROR(INDEX(02_Parâmetros!$B$14:$B$17,MATCH(C792,02_Parâmetros!$A$14:$A$17,0)),"")</f>
        <v>1</v>
      </c>
      <c r="N792" s="2" t="str">
        <f aca="false">IF(OR(H792="",M792=""),"",IF(H792&lt;=M792,"Sim","Não"))</f>
        <v/>
      </c>
    </row>
    <row r="793" customFormat="false" ht="15" hidden="false" customHeight="false" outlineLevel="0" collapsed="false">
      <c r="A793" s="2" t="s">
        <v>830</v>
      </c>
      <c r="B793" s="3" t="n">
        <v>46307</v>
      </c>
      <c r="C793" s="2" t="s">
        <v>44</v>
      </c>
      <c r="D793" s="2" t="s">
        <v>38</v>
      </c>
      <c r="E793" s="2" t="s">
        <v>47</v>
      </c>
      <c r="F793" s="2" t="s">
        <v>18</v>
      </c>
      <c r="G793" s="2" t="s">
        <v>19</v>
      </c>
      <c r="H793" s="2" t="n">
        <v>1.8</v>
      </c>
      <c r="I793" s="2" t="n">
        <v>12.9</v>
      </c>
      <c r="J793" s="2" t="s">
        <v>25</v>
      </c>
      <c r="K793" s="2"/>
      <c r="L793" s="3" t="n">
        <f aca="false">B793-WEEKDAY(B793,2)+1</f>
        <v>46307</v>
      </c>
      <c r="M793" s="4" t="n">
        <f aca="false">IFERROR(INDEX(02_Parâmetros!$B$14:$B$17,MATCH(C793,02_Parâmetros!$A$14:$A$17,0)),"")</f>
        <v>2</v>
      </c>
      <c r="N793" s="2" t="str">
        <f aca="false">IF(OR(H793="",M793=""),"",IF(H793&lt;=M793,"Sim","Não"))</f>
        <v>Sim</v>
      </c>
    </row>
    <row r="794" customFormat="false" ht="15" hidden="false" customHeight="false" outlineLevel="0" collapsed="false">
      <c r="A794" s="2" t="s">
        <v>831</v>
      </c>
      <c r="B794" s="3" t="n">
        <v>46307</v>
      </c>
      <c r="C794" s="2" t="s">
        <v>27</v>
      </c>
      <c r="D794" s="2" t="s">
        <v>38</v>
      </c>
      <c r="E794" s="2" t="s">
        <v>56</v>
      </c>
      <c r="F794" s="2" t="s">
        <v>24</v>
      </c>
      <c r="G794" s="2" t="s">
        <v>19</v>
      </c>
      <c r="H794" s="2" t="n">
        <v>9.7</v>
      </c>
      <c r="I794" s="2" t="n">
        <v>9.1</v>
      </c>
      <c r="J794" s="2" t="s">
        <v>25</v>
      </c>
      <c r="K794" s="2"/>
      <c r="L794" s="3" t="n">
        <f aca="false">B794-WEEKDAY(B794,2)+1</f>
        <v>46307</v>
      </c>
      <c r="M794" s="4" t="n">
        <f aca="false">IFERROR(INDEX(02_Parâmetros!$B$14:$B$17,MATCH(C794,02_Parâmetros!$A$14:$A$17,0)),"")</f>
        <v>10</v>
      </c>
      <c r="N794" s="2" t="str">
        <f aca="false">IF(OR(H794="",M794=""),"",IF(H794&lt;=M794,"Sim","Não"))</f>
        <v>Sim</v>
      </c>
    </row>
    <row r="795" customFormat="false" ht="15" hidden="false" customHeight="false" outlineLevel="0" collapsed="false">
      <c r="A795" s="2" t="s">
        <v>832</v>
      </c>
      <c r="B795" s="3" t="n">
        <v>46307</v>
      </c>
      <c r="C795" s="2" t="s">
        <v>44</v>
      </c>
      <c r="D795" s="2" t="s">
        <v>16</v>
      </c>
      <c r="E795" s="2" t="s">
        <v>17</v>
      </c>
      <c r="F795" s="2" t="s">
        <v>32</v>
      </c>
      <c r="G795" s="2" t="s">
        <v>19</v>
      </c>
      <c r="H795" s="2" t="n">
        <v>0.7</v>
      </c>
      <c r="I795" s="2" t="n">
        <v>5.1</v>
      </c>
      <c r="J795" s="2" t="s">
        <v>20</v>
      </c>
      <c r="K795" s="2"/>
      <c r="L795" s="3" t="n">
        <f aca="false">B795-WEEKDAY(B795,2)+1</f>
        <v>46307</v>
      </c>
      <c r="M795" s="4" t="n">
        <f aca="false">IFERROR(INDEX(02_Parâmetros!$B$14:$B$17,MATCH(C795,02_Parâmetros!$A$14:$A$17,0)),"")</f>
        <v>2</v>
      </c>
      <c r="N795" s="2" t="str">
        <f aca="false">IF(OR(H795="",M795=""),"",IF(H795&lt;=M795,"Sim","Não"))</f>
        <v>Sim</v>
      </c>
    </row>
    <row r="796" customFormat="false" ht="15" hidden="false" customHeight="false" outlineLevel="0" collapsed="false">
      <c r="A796" s="2" t="s">
        <v>833</v>
      </c>
      <c r="B796" s="3" t="n">
        <v>46307</v>
      </c>
      <c r="C796" s="2" t="s">
        <v>27</v>
      </c>
      <c r="D796" s="2" t="s">
        <v>16</v>
      </c>
      <c r="E796" s="2" t="s">
        <v>31</v>
      </c>
      <c r="F796" s="2" t="s">
        <v>70</v>
      </c>
      <c r="G796" s="2" t="s">
        <v>19</v>
      </c>
      <c r="H796" s="2" t="n">
        <v>6.2</v>
      </c>
      <c r="I796" s="2" t="n">
        <v>10.6</v>
      </c>
      <c r="J796" s="2" t="s">
        <v>20</v>
      </c>
      <c r="K796" s="2" t="n">
        <v>4</v>
      </c>
      <c r="L796" s="3" t="n">
        <f aca="false">B796-WEEKDAY(B796,2)+1</f>
        <v>46307</v>
      </c>
      <c r="M796" s="4" t="n">
        <f aca="false">IFERROR(INDEX(02_Parâmetros!$B$14:$B$17,MATCH(C796,02_Parâmetros!$A$14:$A$17,0)),"")</f>
        <v>10</v>
      </c>
      <c r="N796" s="2" t="str">
        <f aca="false">IF(OR(H796="",M796=""),"",IF(H796&lt;=M796,"Sim","Não"))</f>
        <v>Sim</v>
      </c>
    </row>
    <row r="797" customFormat="false" ht="15" hidden="false" customHeight="false" outlineLevel="0" collapsed="false">
      <c r="A797" s="2" t="s">
        <v>834</v>
      </c>
      <c r="B797" s="3" t="n">
        <v>46307</v>
      </c>
      <c r="C797" s="2" t="s">
        <v>41</v>
      </c>
      <c r="D797" s="2" t="s">
        <v>22</v>
      </c>
      <c r="E797" s="2" t="s">
        <v>23</v>
      </c>
      <c r="F797" s="2" t="s">
        <v>24</v>
      </c>
      <c r="G797" s="2" t="s">
        <v>19</v>
      </c>
      <c r="H797" s="2" t="n">
        <v>529.6</v>
      </c>
      <c r="I797" s="2" t="n">
        <v>12.2</v>
      </c>
      <c r="J797" s="2" t="s">
        <v>25</v>
      </c>
      <c r="K797" s="2"/>
      <c r="L797" s="3" t="n">
        <f aca="false">B797-WEEKDAY(B797,2)+1</f>
        <v>46307</v>
      </c>
      <c r="M797" s="4" t="n">
        <f aca="false">IFERROR(INDEX(02_Parâmetros!$B$14:$B$17,MATCH(C797,02_Parâmetros!$A$14:$A$17,0)),"")</f>
        <v>240</v>
      </c>
      <c r="N797" s="2" t="str">
        <f aca="false">IF(OR(H797="",M797=""),"",IF(H797&lt;=M797,"Sim","Não"))</f>
        <v>Não</v>
      </c>
    </row>
    <row r="798" customFormat="false" ht="15" hidden="false" customHeight="false" outlineLevel="0" collapsed="false">
      <c r="A798" s="2" t="s">
        <v>835</v>
      </c>
      <c r="B798" s="3" t="n">
        <v>46307</v>
      </c>
      <c r="C798" s="2" t="s">
        <v>27</v>
      </c>
      <c r="D798" s="2" t="s">
        <v>22</v>
      </c>
      <c r="E798" s="2" t="s">
        <v>28</v>
      </c>
      <c r="F798" s="2" t="s">
        <v>18</v>
      </c>
      <c r="G798" s="2" t="s">
        <v>19</v>
      </c>
      <c r="H798" s="2" t="n">
        <v>5.7</v>
      </c>
      <c r="I798" s="2" t="n">
        <v>7.2</v>
      </c>
      <c r="J798" s="2" t="s">
        <v>20</v>
      </c>
      <c r="K798" s="2"/>
      <c r="L798" s="3" t="n">
        <f aca="false">B798-WEEKDAY(B798,2)+1</f>
        <v>46307</v>
      </c>
      <c r="M798" s="4" t="n">
        <f aca="false">IFERROR(INDEX(02_Parâmetros!$B$14:$B$17,MATCH(C798,02_Parâmetros!$A$14:$A$17,0)),"")</f>
        <v>10</v>
      </c>
      <c r="N798" s="2" t="str">
        <f aca="false">IF(OR(H798="",M798=""),"",IF(H798&lt;=M798,"Sim","Não"))</f>
        <v>Sim</v>
      </c>
    </row>
    <row r="799" customFormat="false" ht="15" hidden="false" customHeight="false" outlineLevel="0" collapsed="false">
      <c r="A799" s="2" t="s">
        <v>836</v>
      </c>
      <c r="B799" s="3" t="n">
        <v>46307</v>
      </c>
      <c r="C799" s="2" t="s">
        <v>44</v>
      </c>
      <c r="D799" s="2" t="s">
        <v>22</v>
      </c>
      <c r="E799" s="2" t="s">
        <v>23</v>
      </c>
      <c r="F799" s="2" t="s">
        <v>70</v>
      </c>
      <c r="G799" s="2" t="s">
        <v>19</v>
      </c>
      <c r="H799" s="2" t="n">
        <v>1.8</v>
      </c>
      <c r="I799" s="2" t="n">
        <v>6.6</v>
      </c>
      <c r="J799" s="2" t="s">
        <v>20</v>
      </c>
      <c r="K799" s="2"/>
      <c r="L799" s="3" t="n">
        <f aca="false">B799-WEEKDAY(B799,2)+1</f>
        <v>46307</v>
      </c>
      <c r="M799" s="4" t="n">
        <f aca="false">IFERROR(INDEX(02_Parâmetros!$B$14:$B$17,MATCH(C799,02_Parâmetros!$A$14:$A$17,0)),"")</f>
        <v>2</v>
      </c>
      <c r="N799" s="2" t="str">
        <f aca="false">IF(OR(H799="",M799=""),"",IF(H799&lt;=M799,"Sim","Não"))</f>
        <v>Sim</v>
      </c>
    </row>
    <row r="800" customFormat="false" ht="15" hidden="false" customHeight="false" outlineLevel="0" collapsed="false">
      <c r="A800" s="2" t="s">
        <v>837</v>
      </c>
      <c r="B800" s="3" t="n">
        <v>46307</v>
      </c>
      <c r="C800" s="2" t="s">
        <v>44</v>
      </c>
      <c r="D800" s="2" t="s">
        <v>16</v>
      </c>
      <c r="E800" s="2" t="s">
        <v>31</v>
      </c>
      <c r="F800" s="2" t="s">
        <v>24</v>
      </c>
      <c r="G800" s="2" t="s">
        <v>19</v>
      </c>
      <c r="H800" s="2" t="n">
        <v>1.6</v>
      </c>
      <c r="I800" s="2" t="n">
        <v>9.9</v>
      </c>
      <c r="J800" s="2" t="s">
        <v>20</v>
      </c>
      <c r="K800" s="2"/>
      <c r="L800" s="3" t="n">
        <f aca="false">B800-WEEKDAY(B800,2)+1</f>
        <v>46307</v>
      </c>
      <c r="M800" s="4" t="n">
        <f aca="false">IFERROR(INDEX(02_Parâmetros!$B$14:$B$17,MATCH(C800,02_Parâmetros!$A$14:$A$17,0)),"")</f>
        <v>2</v>
      </c>
      <c r="N800" s="2" t="str">
        <f aca="false">IF(OR(H800="",M800=""),"",IF(H800&lt;=M800,"Sim","Não"))</f>
        <v>Sim</v>
      </c>
    </row>
    <row r="801" customFormat="false" ht="15" hidden="false" customHeight="false" outlineLevel="0" collapsed="false">
      <c r="A801" s="2" t="s">
        <v>838</v>
      </c>
      <c r="B801" s="3" t="n">
        <v>46307</v>
      </c>
      <c r="C801" s="2" t="s">
        <v>44</v>
      </c>
      <c r="D801" s="2" t="s">
        <v>22</v>
      </c>
      <c r="E801" s="2" t="s">
        <v>28</v>
      </c>
      <c r="F801" s="2" t="s">
        <v>42</v>
      </c>
      <c r="G801" s="2" t="s">
        <v>19</v>
      </c>
      <c r="H801" s="2" t="n">
        <v>0.6</v>
      </c>
      <c r="I801" s="2" t="n">
        <v>9.5</v>
      </c>
      <c r="J801" s="2" t="s">
        <v>20</v>
      </c>
      <c r="K801" s="2"/>
      <c r="L801" s="3" t="n">
        <f aca="false">B801-WEEKDAY(B801,2)+1</f>
        <v>46307</v>
      </c>
      <c r="M801" s="4" t="n">
        <f aca="false">IFERROR(INDEX(02_Parâmetros!$B$14:$B$17,MATCH(C801,02_Parâmetros!$A$14:$A$17,0)),"")</f>
        <v>2</v>
      </c>
      <c r="N801" s="2" t="str">
        <f aca="false">IF(OR(H801="",M801=""),"",IF(H801&lt;=M801,"Sim","Não"))</f>
        <v>Sim</v>
      </c>
    </row>
    <row r="802" customFormat="false" ht="15" hidden="false" customHeight="false" outlineLevel="0" collapsed="false">
      <c r="A802" s="2" t="s">
        <v>839</v>
      </c>
      <c r="B802" s="3" t="n">
        <v>46307</v>
      </c>
      <c r="C802" s="2" t="s">
        <v>15</v>
      </c>
      <c r="D802" s="2" t="s">
        <v>22</v>
      </c>
      <c r="E802" s="2" t="s">
        <v>23</v>
      </c>
      <c r="F802" s="2" t="s">
        <v>18</v>
      </c>
      <c r="G802" s="2" t="s">
        <v>19</v>
      </c>
      <c r="H802" s="2" t="n">
        <v>0.5</v>
      </c>
      <c r="I802" s="2" t="n">
        <v>16.3</v>
      </c>
      <c r="J802" s="2" t="s">
        <v>25</v>
      </c>
      <c r="K802" s="2"/>
      <c r="L802" s="3" t="n">
        <f aca="false">B802-WEEKDAY(B802,2)+1</f>
        <v>46307</v>
      </c>
      <c r="M802" s="4" t="n">
        <f aca="false">IFERROR(INDEX(02_Parâmetros!$B$14:$B$17,MATCH(C802,02_Parâmetros!$A$14:$A$17,0)),"")</f>
        <v>1</v>
      </c>
      <c r="N802" s="2" t="str">
        <f aca="false">IF(OR(H802="",M802=""),"",IF(H802&lt;=M802,"Sim","Não"))</f>
        <v>Sim</v>
      </c>
    </row>
    <row r="803" customFormat="false" ht="15" hidden="false" customHeight="false" outlineLevel="0" collapsed="false">
      <c r="A803" s="2" t="s">
        <v>840</v>
      </c>
      <c r="B803" s="3" t="n">
        <v>46307</v>
      </c>
      <c r="C803" s="2" t="s">
        <v>44</v>
      </c>
      <c r="D803" s="2" t="s">
        <v>38</v>
      </c>
      <c r="E803" s="2" t="s">
        <v>39</v>
      </c>
      <c r="F803" s="2" t="s">
        <v>34</v>
      </c>
      <c r="G803" s="2" t="s">
        <v>19</v>
      </c>
      <c r="H803" s="2" t="n">
        <v>0.9</v>
      </c>
      <c r="I803" s="2" t="n">
        <v>8.2</v>
      </c>
      <c r="J803" s="2" t="s">
        <v>20</v>
      </c>
      <c r="K803" s="2"/>
      <c r="L803" s="3" t="n">
        <f aca="false">B803-WEEKDAY(B803,2)+1</f>
        <v>46307</v>
      </c>
      <c r="M803" s="4" t="n">
        <f aca="false">IFERROR(INDEX(02_Parâmetros!$B$14:$B$17,MATCH(C803,02_Parâmetros!$A$14:$A$17,0)),"")</f>
        <v>2</v>
      </c>
      <c r="N803" s="2" t="str">
        <f aca="false">IF(OR(H803="",M803=""),"",IF(H803&lt;=M803,"Sim","Não"))</f>
        <v>Sim</v>
      </c>
    </row>
    <row r="804" customFormat="false" ht="15" hidden="false" customHeight="false" outlineLevel="0" collapsed="false">
      <c r="A804" s="2" t="s">
        <v>841</v>
      </c>
      <c r="B804" s="3" t="n">
        <v>46307</v>
      </c>
      <c r="C804" s="2" t="s">
        <v>27</v>
      </c>
      <c r="D804" s="2" t="s">
        <v>22</v>
      </c>
      <c r="E804" s="2" t="s">
        <v>28</v>
      </c>
      <c r="F804" s="2" t="s">
        <v>18</v>
      </c>
      <c r="G804" s="2" t="s">
        <v>19</v>
      </c>
      <c r="H804" s="2" t="n">
        <v>2.9</v>
      </c>
      <c r="I804" s="2" t="n">
        <v>8</v>
      </c>
      <c r="J804" s="2" t="s">
        <v>20</v>
      </c>
      <c r="K804" s="2" t="n">
        <v>5</v>
      </c>
      <c r="L804" s="3" t="n">
        <f aca="false">B804-WEEKDAY(B804,2)+1</f>
        <v>46307</v>
      </c>
      <c r="M804" s="4" t="n">
        <f aca="false">IFERROR(INDEX(02_Parâmetros!$B$14:$B$17,MATCH(C804,02_Parâmetros!$A$14:$A$17,0)),"")</f>
        <v>10</v>
      </c>
      <c r="N804" s="2" t="str">
        <f aca="false">IF(OR(H804="",M804=""),"",IF(H804&lt;=M804,"Sim","Não"))</f>
        <v>Sim</v>
      </c>
    </row>
    <row r="805" customFormat="false" ht="15" hidden="false" customHeight="false" outlineLevel="0" collapsed="false">
      <c r="A805" s="2" t="s">
        <v>842</v>
      </c>
      <c r="B805" s="3" t="n">
        <v>46307</v>
      </c>
      <c r="C805" s="2" t="s">
        <v>44</v>
      </c>
      <c r="D805" s="2" t="s">
        <v>16</v>
      </c>
      <c r="E805" s="2" t="s">
        <v>17</v>
      </c>
      <c r="F805" s="2" t="s">
        <v>24</v>
      </c>
      <c r="G805" s="2" t="s">
        <v>19</v>
      </c>
      <c r="H805" s="2" t="n">
        <v>1.3</v>
      </c>
      <c r="I805" s="2" t="n">
        <v>11.3</v>
      </c>
      <c r="J805" s="2" t="s">
        <v>20</v>
      </c>
      <c r="K805" s="2"/>
      <c r="L805" s="3" t="n">
        <f aca="false">B805-WEEKDAY(B805,2)+1</f>
        <v>46307</v>
      </c>
      <c r="M805" s="4" t="n">
        <f aca="false">IFERROR(INDEX(02_Parâmetros!$B$14:$B$17,MATCH(C805,02_Parâmetros!$A$14:$A$17,0)),"")</f>
        <v>2</v>
      </c>
      <c r="N805" s="2" t="str">
        <f aca="false">IF(OR(H805="",M805=""),"",IF(H805&lt;=M805,"Sim","Não"))</f>
        <v>Sim</v>
      </c>
    </row>
    <row r="806" customFormat="false" ht="15" hidden="false" customHeight="false" outlineLevel="0" collapsed="false">
      <c r="A806" s="2" t="s">
        <v>843</v>
      </c>
      <c r="B806" s="3" t="n">
        <v>46307</v>
      </c>
      <c r="C806" s="2" t="s">
        <v>44</v>
      </c>
      <c r="D806" s="2" t="s">
        <v>22</v>
      </c>
      <c r="E806" s="2" t="s">
        <v>28</v>
      </c>
      <c r="F806" s="2" t="s">
        <v>18</v>
      </c>
      <c r="G806" s="2" t="s">
        <v>19</v>
      </c>
      <c r="H806" s="2" t="n">
        <v>5.2</v>
      </c>
      <c r="I806" s="2" t="n">
        <v>9.9</v>
      </c>
      <c r="J806" s="2" t="s">
        <v>25</v>
      </c>
      <c r="K806" s="2"/>
      <c r="L806" s="3" t="n">
        <f aca="false">B806-WEEKDAY(B806,2)+1</f>
        <v>46307</v>
      </c>
      <c r="M806" s="4" t="n">
        <f aca="false">IFERROR(INDEX(02_Parâmetros!$B$14:$B$17,MATCH(C806,02_Parâmetros!$A$14:$A$17,0)),"")</f>
        <v>2</v>
      </c>
      <c r="N806" s="2" t="str">
        <f aca="false">IF(OR(H806="",M806=""),"",IF(H806&lt;=M806,"Sim","Não"))</f>
        <v>Não</v>
      </c>
    </row>
    <row r="807" customFormat="false" ht="15" hidden="false" customHeight="false" outlineLevel="0" collapsed="false">
      <c r="A807" s="2" t="s">
        <v>844</v>
      </c>
      <c r="B807" s="3" t="n">
        <v>46307</v>
      </c>
      <c r="C807" s="2" t="s">
        <v>41</v>
      </c>
      <c r="D807" s="2" t="s">
        <v>16</v>
      </c>
      <c r="E807" s="2" t="s">
        <v>31</v>
      </c>
      <c r="F807" s="2" t="s">
        <v>32</v>
      </c>
      <c r="G807" s="2" t="s">
        <v>19</v>
      </c>
      <c r="H807" s="2" t="n">
        <v>136.1</v>
      </c>
      <c r="I807" s="2" t="n">
        <v>7.7</v>
      </c>
      <c r="J807" s="2" t="s">
        <v>20</v>
      </c>
      <c r="K807" s="2"/>
      <c r="L807" s="3" t="n">
        <f aca="false">B807-WEEKDAY(B807,2)+1</f>
        <v>46307</v>
      </c>
      <c r="M807" s="4" t="n">
        <f aca="false">IFERROR(INDEX(02_Parâmetros!$B$14:$B$17,MATCH(C807,02_Parâmetros!$A$14:$A$17,0)),"")</f>
        <v>240</v>
      </c>
      <c r="N807" s="2" t="str">
        <f aca="false">IF(OR(H807="",M807=""),"",IF(H807&lt;=M807,"Sim","Não"))</f>
        <v>Sim</v>
      </c>
    </row>
    <row r="808" customFormat="false" ht="15" hidden="false" customHeight="false" outlineLevel="0" collapsed="false">
      <c r="A808" s="2" t="s">
        <v>845</v>
      </c>
      <c r="B808" s="3" t="n">
        <v>46307</v>
      </c>
      <c r="C808" s="2" t="s">
        <v>15</v>
      </c>
      <c r="D808" s="2" t="s">
        <v>22</v>
      </c>
      <c r="E808" s="2" t="s">
        <v>28</v>
      </c>
      <c r="F808" s="2" t="s">
        <v>24</v>
      </c>
      <c r="G808" s="2" t="s">
        <v>78</v>
      </c>
      <c r="H808" s="2" t="n">
        <v>0.5</v>
      </c>
      <c r="I808" s="2" t="n">
        <v>24.4</v>
      </c>
      <c r="J808" s="2"/>
      <c r="K808" s="2"/>
      <c r="L808" s="3" t="n">
        <f aca="false">B808-WEEKDAY(B808,2)+1</f>
        <v>46307</v>
      </c>
      <c r="M808" s="4" t="n">
        <f aca="false">IFERROR(INDEX(02_Parâmetros!$B$14:$B$17,MATCH(C808,02_Parâmetros!$A$14:$A$17,0)),"")</f>
        <v>1</v>
      </c>
      <c r="N808" s="2" t="str">
        <f aca="false">IF(OR(H808="",M808=""),"",IF(H808&lt;=M808,"Sim","Não"))</f>
        <v>Sim</v>
      </c>
    </row>
    <row r="809" customFormat="false" ht="15" hidden="false" customHeight="false" outlineLevel="0" collapsed="false">
      <c r="A809" s="2" t="s">
        <v>846</v>
      </c>
      <c r="B809" s="3" t="n">
        <v>46307</v>
      </c>
      <c r="C809" s="2" t="s">
        <v>27</v>
      </c>
      <c r="D809" s="2" t="s">
        <v>22</v>
      </c>
      <c r="E809" s="2" t="s">
        <v>28</v>
      </c>
      <c r="F809" s="2" t="s">
        <v>18</v>
      </c>
      <c r="G809" s="2" t="s">
        <v>19</v>
      </c>
      <c r="H809" s="2" t="n">
        <v>7.1</v>
      </c>
      <c r="I809" s="2" t="n">
        <v>9.5</v>
      </c>
      <c r="J809" s="2" t="s">
        <v>20</v>
      </c>
      <c r="K809" s="2"/>
      <c r="L809" s="3" t="n">
        <f aca="false">B809-WEEKDAY(B809,2)+1</f>
        <v>46307</v>
      </c>
      <c r="M809" s="4" t="n">
        <f aca="false">IFERROR(INDEX(02_Parâmetros!$B$14:$B$17,MATCH(C809,02_Parâmetros!$A$14:$A$17,0)),"")</f>
        <v>10</v>
      </c>
      <c r="N809" s="2" t="str">
        <f aca="false">IF(OR(H809="",M809=""),"",IF(H809&lt;=M809,"Sim","Não"))</f>
        <v>Sim</v>
      </c>
    </row>
    <row r="810" customFormat="false" ht="15" hidden="false" customHeight="false" outlineLevel="0" collapsed="false">
      <c r="A810" s="2" t="s">
        <v>847</v>
      </c>
      <c r="B810" s="3" t="n">
        <v>46307</v>
      </c>
      <c r="C810" s="2" t="s">
        <v>41</v>
      </c>
      <c r="D810" s="2" t="s">
        <v>16</v>
      </c>
      <c r="E810" s="2" t="s">
        <v>36</v>
      </c>
      <c r="F810" s="2" t="s">
        <v>34</v>
      </c>
      <c r="G810" s="2" t="s">
        <v>19</v>
      </c>
      <c r="H810" s="2" t="n">
        <v>208.4</v>
      </c>
      <c r="I810" s="2" t="n">
        <v>12.8</v>
      </c>
      <c r="J810" s="2" t="s">
        <v>20</v>
      </c>
      <c r="K810" s="2" t="n">
        <v>4</v>
      </c>
      <c r="L810" s="3" t="n">
        <f aca="false">B810-WEEKDAY(B810,2)+1</f>
        <v>46307</v>
      </c>
      <c r="M810" s="4" t="n">
        <f aca="false">IFERROR(INDEX(02_Parâmetros!$B$14:$B$17,MATCH(C810,02_Parâmetros!$A$14:$A$17,0)),"")</f>
        <v>240</v>
      </c>
      <c r="N810" s="2" t="str">
        <f aca="false">IF(OR(H810="",M810=""),"",IF(H810&lt;=M810,"Sim","Não"))</f>
        <v>Sim</v>
      </c>
    </row>
    <row r="811" customFormat="false" ht="15" hidden="false" customHeight="false" outlineLevel="0" collapsed="false">
      <c r="A811" s="2" t="s">
        <v>848</v>
      </c>
      <c r="B811" s="3" t="n">
        <v>46307</v>
      </c>
      <c r="C811" s="2" t="s">
        <v>44</v>
      </c>
      <c r="D811" s="2" t="s">
        <v>16</v>
      </c>
      <c r="E811" s="2" t="s">
        <v>17</v>
      </c>
      <c r="F811" s="2" t="s">
        <v>18</v>
      </c>
      <c r="G811" s="2" t="s">
        <v>19</v>
      </c>
      <c r="H811" s="2" t="n">
        <v>1.8</v>
      </c>
      <c r="I811" s="2" t="n">
        <v>7.4</v>
      </c>
      <c r="J811" s="2" t="s">
        <v>20</v>
      </c>
      <c r="K811" s="2"/>
      <c r="L811" s="3" t="n">
        <f aca="false">B811-WEEKDAY(B811,2)+1</f>
        <v>46307</v>
      </c>
      <c r="M811" s="4" t="n">
        <f aca="false">IFERROR(INDEX(02_Parâmetros!$B$14:$B$17,MATCH(C811,02_Parâmetros!$A$14:$A$17,0)),"")</f>
        <v>2</v>
      </c>
      <c r="N811" s="2" t="str">
        <f aca="false">IF(OR(H811="",M811=""),"",IF(H811&lt;=M811,"Sim","Não"))</f>
        <v>Sim</v>
      </c>
    </row>
    <row r="812" customFormat="false" ht="15" hidden="false" customHeight="false" outlineLevel="0" collapsed="false">
      <c r="A812" s="2" t="s">
        <v>849</v>
      </c>
      <c r="B812" s="3" t="n">
        <v>46307</v>
      </c>
      <c r="C812" s="2" t="s">
        <v>27</v>
      </c>
      <c r="D812" s="2" t="s">
        <v>22</v>
      </c>
      <c r="E812" s="2" t="s">
        <v>23</v>
      </c>
      <c r="F812" s="2" t="s">
        <v>32</v>
      </c>
      <c r="G812" s="2" t="s">
        <v>19</v>
      </c>
      <c r="H812" s="2" t="n">
        <v>9.7</v>
      </c>
      <c r="I812" s="2" t="n">
        <v>7.3</v>
      </c>
      <c r="J812" s="2" t="s">
        <v>25</v>
      </c>
      <c r="K812" s="2" t="n">
        <v>5</v>
      </c>
      <c r="L812" s="3" t="n">
        <f aca="false">B812-WEEKDAY(B812,2)+1</f>
        <v>46307</v>
      </c>
      <c r="M812" s="4" t="n">
        <f aca="false">IFERROR(INDEX(02_Parâmetros!$B$14:$B$17,MATCH(C812,02_Parâmetros!$A$14:$A$17,0)),"")</f>
        <v>10</v>
      </c>
      <c r="N812" s="2" t="str">
        <f aca="false">IF(OR(H812="",M812=""),"",IF(H812&lt;=M812,"Sim","Não"))</f>
        <v>Sim</v>
      </c>
    </row>
    <row r="813" customFormat="false" ht="15" hidden="false" customHeight="false" outlineLevel="0" collapsed="false">
      <c r="A813" s="2" t="s">
        <v>850</v>
      </c>
      <c r="B813" s="3" t="n">
        <v>46307</v>
      </c>
      <c r="C813" s="2" t="s">
        <v>44</v>
      </c>
      <c r="D813" s="2" t="s">
        <v>22</v>
      </c>
      <c r="E813" s="2" t="s">
        <v>23</v>
      </c>
      <c r="F813" s="2" t="s">
        <v>24</v>
      </c>
      <c r="G813" s="2" t="s">
        <v>19</v>
      </c>
      <c r="H813" s="2" t="n">
        <v>1.4</v>
      </c>
      <c r="I813" s="2" t="n">
        <v>16.2</v>
      </c>
      <c r="J813" s="2" t="s">
        <v>20</v>
      </c>
      <c r="K813" s="2" t="n">
        <v>5</v>
      </c>
      <c r="L813" s="3" t="n">
        <f aca="false">B813-WEEKDAY(B813,2)+1</f>
        <v>46307</v>
      </c>
      <c r="M813" s="4" t="n">
        <f aca="false">IFERROR(INDEX(02_Parâmetros!$B$14:$B$17,MATCH(C813,02_Parâmetros!$A$14:$A$17,0)),"")</f>
        <v>2</v>
      </c>
      <c r="N813" s="2" t="str">
        <f aca="false">IF(OR(H813="",M813=""),"",IF(H813&lt;=M813,"Sim","Não"))</f>
        <v>Sim</v>
      </c>
    </row>
    <row r="814" customFormat="false" ht="15" hidden="false" customHeight="false" outlineLevel="0" collapsed="false">
      <c r="A814" s="2" t="s">
        <v>851</v>
      </c>
      <c r="B814" s="3" t="n">
        <v>46307</v>
      </c>
      <c r="C814" s="2" t="s">
        <v>27</v>
      </c>
      <c r="D814" s="2" t="s">
        <v>22</v>
      </c>
      <c r="E814" s="2" t="s">
        <v>23</v>
      </c>
      <c r="F814" s="2" t="s">
        <v>42</v>
      </c>
      <c r="G814" s="2" t="s">
        <v>19</v>
      </c>
      <c r="H814" s="2" t="n">
        <v>4.4</v>
      </c>
      <c r="I814" s="2" t="n">
        <v>6.8</v>
      </c>
      <c r="J814" s="2" t="s">
        <v>20</v>
      </c>
      <c r="K814" s="2"/>
      <c r="L814" s="3" t="n">
        <f aca="false">B814-WEEKDAY(B814,2)+1</f>
        <v>46307</v>
      </c>
      <c r="M814" s="4" t="n">
        <f aca="false">IFERROR(INDEX(02_Parâmetros!$B$14:$B$17,MATCH(C814,02_Parâmetros!$A$14:$A$17,0)),"")</f>
        <v>10</v>
      </c>
      <c r="N814" s="2" t="str">
        <f aca="false">IF(OR(H814="",M814=""),"",IF(H814&lt;=M814,"Sim","Não"))</f>
        <v>Sim</v>
      </c>
    </row>
    <row r="815" customFormat="false" ht="15" hidden="false" customHeight="false" outlineLevel="0" collapsed="false">
      <c r="A815" s="2" t="s">
        <v>852</v>
      </c>
      <c r="B815" s="3" t="n">
        <v>46307</v>
      </c>
      <c r="C815" s="2" t="s">
        <v>27</v>
      </c>
      <c r="D815" s="2" t="s">
        <v>22</v>
      </c>
      <c r="E815" s="2" t="s">
        <v>23</v>
      </c>
      <c r="F815" s="2" t="s">
        <v>34</v>
      </c>
      <c r="G815" s="2" t="s">
        <v>19</v>
      </c>
      <c r="H815" s="2" t="n">
        <v>3.1</v>
      </c>
      <c r="I815" s="2" t="n">
        <v>6.4</v>
      </c>
      <c r="J815" s="2" t="s">
        <v>20</v>
      </c>
      <c r="K815" s="2"/>
      <c r="L815" s="3" t="n">
        <f aca="false">B815-WEEKDAY(B815,2)+1</f>
        <v>46307</v>
      </c>
      <c r="M815" s="4" t="n">
        <f aca="false">IFERROR(INDEX(02_Parâmetros!$B$14:$B$17,MATCH(C815,02_Parâmetros!$A$14:$A$17,0)),"")</f>
        <v>10</v>
      </c>
      <c r="N815" s="2" t="str">
        <f aca="false">IF(OR(H815="",M815=""),"",IF(H815&lt;=M815,"Sim","Não"))</f>
        <v>Sim</v>
      </c>
    </row>
    <row r="816" customFormat="false" ht="15" hidden="false" customHeight="false" outlineLevel="0" collapsed="false">
      <c r="A816" s="2" t="s">
        <v>853</v>
      </c>
      <c r="B816" s="3" t="n">
        <v>46307</v>
      </c>
      <c r="C816" s="2" t="s">
        <v>41</v>
      </c>
      <c r="D816" s="2" t="s">
        <v>38</v>
      </c>
      <c r="E816" s="2" t="s">
        <v>47</v>
      </c>
      <c r="F816" s="2" t="s">
        <v>34</v>
      </c>
      <c r="G816" s="2" t="s">
        <v>19</v>
      </c>
      <c r="H816" s="2" t="n">
        <v>101.6</v>
      </c>
      <c r="I816" s="2" t="n">
        <v>8.5</v>
      </c>
      <c r="J816" s="2" t="s">
        <v>20</v>
      </c>
      <c r="K816" s="2" t="n">
        <v>4</v>
      </c>
      <c r="L816" s="3" t="n">
        <f aca="false">B816-WEEKDAY(B816,2)+1</f>
        <v>46307</v>
      </c>
      <c r="M816" s="4" t="n">
        <f aca="false">IFERROR(INDEX(02_Parâmetros!$B$14:$B$17,MATCH(C816,02_Parâmetros!$A$14:$A$17,0)),"")</f>
        <v>240</v>
      </c>
      <c r="N816" s="2" t="str">
        <f aca="false">IF(OR(H816="",M816=""),"",IF(H816&lt;=M816,"Sim","Não"))</f>
        <v>Sim</v>
      </c>
    </row>
    <row r="817" customFormat="false" ht="15" hidden="false" customHeight="false" outlineLevel="0" collapsed="false">
      <c r="A817" s="2" t="s">
        <v>854</v>
      </c>
      <c r="B817" s="3" t="n">
        <v>46307</v>
      </c>
      <c r="C817" s="2" t="s">
        <v>41</v>
      </c>
      <c r="D817" s="2" t="s">
        <v>22</v>
      </c>
      <c r="E817" s="2" t="s">
        <v>23</v>
      </c>
      <c r="F817" s="2" t="s">
        <v>18</v>
      </c>
      <c r="G817" s="2" t="s">
        <v>19</v>
      </c>
      <c r="H817" s="2" t="n">
        <v>88.4</v>
      </c>
      <c r="I817" s="2" t="n">
        <v>7.2</v>
      </c>
      <c r="J817" s="2" t="s">
        <v>20</v>
      </c>
      <c r="K817" s="2"/>
      <c r="L817" s="3" t="n">
        <f aca="false">B817-WEEKDAY(B817,2)+1</f>
        <v>46307</v>
      </c>
      <c r="M817" s="4" t="n">
        <f aca="false">IFERROR(INDEX(02_Parâmetros!$B$14:$B$17,MATCH(C817,02_Parâmetros!$A$14:$A$17,0)),"")</f>
        <v>240</v>
      </c>
      <c r="N817" s="2" t="str">
        <f aca="false">IF(OR(H817="",M817=""),"",IF(H817&lt;=M817,"Sim","Não"))</f>
        <v>Sim</v>
      </c>
    </row>
    <row r="818" customFormat="false" ht="15" hidden="false" customHeight="false" outlineLevel="0" collapsed="false">
      <c r="A818" s="2" t="s">
        <v>855</v>
      </c>
      <c r="B818" s="3" t="n">
        <v>46307</v>
      </c>
      <c r="C818" s="2" t="s">
        <v>41</v>
      </c>
      <c r="D818" s="2" t="s">
        <v>16</v>
      </c>
      <c r="E818" s="2" t="s">
        <v>17</v>
      </c>
      <c r="F818" s="2" t="s">
        <v>42</v>
      </c>
      <c r="G818" s="2" t="s">
        <v>19</v>
      </c>
      <c r="H818" s="2" t="n">
        <v>215</v>
      </c>
      <c r="I818" s="2" t="n">
        <v>11.2</v>
      </c>
      <c r="J818" s="2" t="s">
        <v>20</v>
      </c>
      <c r="K818" s="2"/>
      <c r="L818" s="3" t="n">
        <f aca="false">B818-WEEKDAY(B818,2)+1</f>
        <v>46307</v>
      </c>
      <c r="M818" s="4" t="n">
        <f aca="false">IFERROR(INDEX(02_Parâmetros!$B$14:$B$17,MATCH(C818,02_Parâmetros!$A$14:$A$17,0)),"")</f>
        <v>240</v>
      </c>
      <c r="N818" s="2" t="str">
        <f aca="false">IF(OR(H818="",M818=""),"",IF(H818&lt;=M818,"Sim","Não"))</f>
        <v>Sim</v>
      </c>
    </row>
    <row r="819" customFormat="false" ht="15" hidden="false" customHeight="false" outlineLevel="0" collapsed="false">
      <c r="A819" s="2" t="s">
        <v>856</v>
      </c>
      <c r="B819" s="3" t="n">
        <v>46307</v>
      </c>
      <c r="C819" s="2" t="s">
        <v>27</v>
      </c>
      <c r="D819" s="2" t="s">
        <v>38</v>
      </c>
      <c r="E819" s="2" t="s">
        <v>56</v>
      </c>
      <c r="F819" s="2" t="s">
        <v>18</v>
      </c>
      <c r="G819" s="2" t="s">
        <v>19</v>
      </c>
      <c r="H819" s="2" t="n">
        <v>7</v>
      </c>
      <c r="I819" s="2" t="n">
        <v>10.9</v>
      </c>
      <c r="J819" s="2" t="s">
        <v>20</v>
      </c>
      <c r="K819" s="2"/>
      <c r="L819" s="3" t="n">
        <f aca="false">B819-WEEKDAY(B819,2)+1</f>
        <v>46307</v>
      </c>
      <c r="M819" s="4" t="n">
        <f aca="false">IFERROR(INDEX(02_Parâmetros!$B$14:$B$17,MATCH(C819,02_Parâmetros!$A$14:$A$17,0)),"")</f>
        <v>10</v>
      </c>
      <c r="N819" s="2" t="str">
        <f aca="false">IF(OR(H819="",M819=""),"",IF(H819&lt;=M819,"Sim","Não"))</f>
        <v>Sim</v>
      </c>
    </row>
    <row r="820" customFormat="false" ht="15" hidden="false" customHeight="false" outlineLevel="0" collapsed="false">
      <c r="A820" s="2" t="s">
        <v>857</v>
      </c>
      <c r="B820" s="3" t="n">
        <v>46307</v>
      </c>
      <c r="C820" s="2" t="s">
        <v>44</v>
      </c>
      <c r="D820" s="2" t="s">
        <v>16</v>
      </c>
      <c r="E820" s="2" t="s">
        <v>36</v>
      </c>
      <c r="F820" s="2" t="s">
        <v>42</v>
      </c>
      <c r="G820" s="2" t="s">
        <v>19</v>
      </c>
      <c r="H820" s="2" t="n">
        <v>0.7</v>
      </c>
      <c r="I820" s="2" t="n">
        <v>8</v>
      </c>
      <c r="J820" s="2" t="s">
        <v>20</v>
      </c>
      <c r="K820" s="2"/>
      <c r="L820" s="3" t="n">
        <f aca="false">B820-WEEKDAY(B820,2)+1</f>
        <v>46307</v>
      </c>
      <c r="M820" s="4" t="n">
        <f aca="false">IFERROR(INDEX(02_Parâmetros!$B$14:$B$17,MATCH(C820,02_Parâmetros!$A$14:$A$17,0)),"")</f>
        <v>2</v>
      </c>
      <c r="N820" s="2" t="str">
        <f aca="false">IF(OR(H820="",M820=""),"",IF(H820&lt;=M820,"Sim","Não"))</f>
        <v>Sim</v>
      </c>
    </row>
    <row r="821" customFormat="false" ht="15" hidden="false" customHeight="false" outlineLevel="0" collapsed="false">
      <c r="A821" s="2" t="s">
        <v>858</v>
      </c>
      <c r="B821" s="3" t="n">
        <v>46307</v>
      </c>
      <c r="C821" s="2" t="s">
        <v>44</v>
      </c>
      <c r="D821" s="2" t="s">
        <v>22</v>
      </c>
      <c r="E821" s="2" t="s">
        <v>28</v>
      </c>
      <c r="F821" s="2" t="s">
        <v>32</v>
      </c>
      <c r="G821" s="2" t="s">
        <v>19</v>
      </c>
      <c r="H821" s="2" t="n">
        <v>0.6</v>
      </c>
      <c r="I821" s="2" t="n">
        <v>6.8</v>
      </c>
      <c r="J821" s="2" t="s">
        <v>20</v>
      </c>
      <c r="K821" s="2"/>
      <c r="L821" s="3" t="n">
        <f aca="false">B821-WEEKDAY(B821,2)+1</f>
        <v>46307</v>
      </c>
      <c r="M821" s="4" t="n">
        <f aca="false">IFERROR(INDEX(02_Parâmetros!$B$14:$B$17,MATCH(C821,02_Parâmetros!$A$14:$A$17,0)),"")</f>
        <v>2</v>
      </c>
      <c r="N821" s="2" t="str">
        <f aca="false">IF(OR(H821="",M821=""),"",IF(H821&lt;=M821,"Sim","Não"))</f>
        <v>Sim</v>
      </c>
    </row>
    <row r="822" customFormat="false" ht="15" hidden="false" customHeight="false" outlineLevel="0" collapsed="false">
      <c r="A822" s="2" t="s">
        <v>859</v>
      </c>
      <c r="B822" s="3" t="n">
        <v>46307</v>
      </c>
      <c r="C822" s="2" t="s">
        <v>27</v>
      </c>
      <c r="D822" s="2" t="s">
        <v>16</v>
      </c>
      <c r="E822" s="2" t="s">
        <v>17</v>
      </c>
      <c r="F822" s="2" t="s">
        <v>24</v>
      </c>
      <c r="G822" s="2" t="s">
        <v>19</v>
      </c>
      <c r="H822" s="2" t="n">
        <v>4.5</v>
      </c>
      <c r="I822" s="2" t="n">
        <v>11.3</v>
      </c>
      <c r="J822" s="2" t="s">
        <v>20</v>
      </c>
      <c r="K822" s="2" t="n">
        <v>4</v>
      </c>
      <c r="L822" s="3" t="n">
        <f aca="false">B822-WEEKDAY(B822,2)+1</f>
        <v>46307</v>
      </c>
      <c r="M822" s="4" t="n">
        <f aca="false">IFERROR(INDEX(02_Parâmetros!$B$14:$B$17,MATCH(C822,02_Parâmetros!$A$14:$A$17,0)),"")</f>
        <v>10</v>
      </c>
      <c r="N822" s="2" t="str">
        <f aca="false">IF(OR(H822="",M822=""),"",IF(H822&lt;=M822,"Sim","Não"))</f>
        <v>Sim</v>
      </c>
    </row>
    <row r="823" customFormat="false" ht="15" hidden="false" customHeight="false" outlineLevel="0" collapsed="false">
      <c r="A823" s="2" t="s">
        <v>860</v>
      </c>
      <c r="B823" s="3" t="n">
        <v>46307</v>
      </c>
      <c r="C823" s="2" t="s">
        <v>44</v>
      </c>
      <c r="D823" s="2" t="s">
        <v>16</v>
      </c>
      <c r="E823" s="2" t="s">
        <v>17</v>
      </c>
      <c r="F823" s="2" t="s">
        <v>70</v>
      </c>
      <c r="G823" s="2" t="s">
        <v>19</v>
      </c>
      <c r="H823" s="2" t="n">
        <v>1.6</v>
      </c>
      <c r="I823" s="2" t="n">
        <v>12.1</v>
      </c>
      <c r="J823" s="2" t="s">
        <v>25</v>
      </c>
      <c r="K823" s="2"/>
      <c r="L823" s="3" t="n">
        <f aca="false">B823-WEEKDAY(B823,2)+1</f>
        <v>46307</v>
      </c>
      <c r="M823" s="4" t="n">
        <f aca="false">IFERROR(INDEX(02_Parâmetros!$B$14:$B$17,MATCH(C823,02_Parâmetros!$A$14:$A$17,0)),"")</f>
        <v>2</v>
      </c>
      <c r="N823" s="2" t="str">
        <f aca="false">IF(OR(H823="",M823=""),"",IF(H823&lt;=M823,"Sim","Não"))</f>
        <v>Sim</v>
      </c>
    </row>
    <row r="824" customFormat="false" ht="15" hidden="false" customHeight="false" outlineLevel="0" collapsed="false">
      <c r="A824" s="2" t="s">
        <v>861</v>
      </c>
      <c r="B824" s="3" t="n">
        <v>46307</v>
      </c>
      <c r="C824" s="2" t="s">
        <v>27</v>
      </c>
      <c r="D824" s="2" t="s">
        <v>38</v>
      </c>
      <c r="E824" s="2" t="s">
        <v>39</v>
      </c>
      <c r="F824" s="2" t="s">
        <v>42</v>
      </c>
      <c r="G824" s="2" t="s">
        <v>19</v>
      </c>
      <c r="H824" s="2" t="n">
        <v>7.7</v>
      </c>
      <c r="I824" s="2" t="n">
        <v>10.8</v>
      </c>
      <c r="J824" s="2" t="s">
        <v>20</v>
      </c>
      <c r="K824" s="2"/>
      <c r="L824" s="3" t="n">
        <f aca="false">B824-WEEKDAY(B824,2)+1</f>
        <v>46307</v>
      </c>
      <c r="M824" s="4" t="n">
        <f aca="false">IFERROR(INDEX(02_Parâmetros!$B$14:$B$17,MATCH(C824,02_Parâmetros!$A$14:$A$17,0)),"")</f>
        <v>10</v>
      </c>
      <c r="N824" s="2" t="str">
        <f aca="false">IF(OR(H824="",M824=""),"",IF(H824&lt;=M824,"Sim","Não"))</f>
        <v>Sim</v>
      </c>
    </row>
    <row r="825" customFormat="false" ht="15" hidden="false" customHeight="false" outlineLevel="0" collapsed="false">
      <c r="A825" s="2" t="s">
        <v>862</v>
      </c>
      <c r="B825" s="3" t="n">
        <v>46307</v>
      </c>
      <c r="C825" s="2" t="s">
        <v>41</v>
      </c>
      <c r="D825" s="2" t="s">
        <v>38</v>
      </c>
      <c r="E825" s="2" t="s">
        <v>47</v>
      </c>
      <c r="F825" s="2" t="s">
        <v>42</v>
      </c>
      <c r="G825" s="2" t="s">
        <v>19</v>
      </c>
      <c r="H825" s="2" t="n">
        <v>447.2</v>
      </c>
      <c r="I825" s="2" t="n">
        <v>11.7</v>
      </c>
      <c r="J825" s="2" t="s">
        <v>20</v>
      </c>
      <c r="K825" s="2" t="n">
        <v>2</v>
      </c>
      <c r="L825" s="3" t="n">
        <f aca="false">B825-WEEKDAY(B825,2)+1</f>
        <v>46307</v>
      </c>
      <c r="M825" s="4" t="n">
        <f aca="false">IFERROR(INDEX(02_Parâmetros!$B$14:$B$17,MATCH(C825,02_Parâmetros!$A$14:$A$17,0)),"")</f>
        <v>240</v>
      </c>
      <c r="N825" s="2" t="str">
        <f aca="false">IF(OR(H825="",M825=""),"",IF(H825&lt;=M825,"Sim","Não"))</f>
        <v>Não</v>
      </c>
    </row>
    <row r="826" customFormat="false" ht="15" hidden="false" customHeight="false" outlineLevel="0" collapsed="false">
      <c r="A826" s="2" t="s">
        <v>863</v>
      </c>
      <c r="B826" s="3" t="n">
        <v>46308</v>
      </c>
      <c r="C826" s="2" t="s">
        <v>44</v>
      </c>
      <c r="D826" s="2" t="s">
        <v>38</v>
      </c>
      <c r="E826" s="2" t="s">
        <v>47</v>
      </c>
      <c r="F826" s="2" t="s">
        <v>18</v>
      </c>
      <c r="G826" s="2" t="s">
        <v>19</v>
      </c>
      <c r="H826" s="2" t="n">
        <v>1.9</v>
      </c>
      <c r="I826" s="2" t="n">
        <v>10.2</v>
      </c>
      <c r="J826" s="2" t="s">
        <v>20</v>
      </c>
      <c r="K826" s="2" t="n">
        <v>4</v>
      </c>
      <c r="L826" s="3" t="n">
        <f aca="false">B826-WEEKDAY(B826,2)+1</f>
        <v>46307</v>
      </c>
      <c r="M826" s="4" t="n">
        <f aca="false">IFERROR(INDEX(02_Parâmetros!$B$14:$B$17,MATCH(C826,02_Parâmetros!$A$14:$A$17,0)),"")</f>
        <v>2</v>
      </c>
      <c r="N826" s="2" t="str">
        <f aca="false">IF(OR(H826="",M826=""),"",IF(H826&lt;=M826,"Sim","Não"))</f>
        <v>Sim</v>
      </c>
    </row>
    <row r="827" customFormat="false" ht="15" hidden="false" customHeight="false" outlineLevel="0" collapsed="false">
      <c r="A827" s="2" t="s">
        <v>864</v>
      </c>
      <c r="B827" s="3" t="n">
        <v>46308</v>
      </c>
      <c r="C827" s="2" t="s">
        <v>41</v>
      </c>
      <c r="D827" s="2" t="s">
        <v>38</v>
      </c>
      <c r="E827" s="2" t="s">
        <v>47</v>
      </c>
      <c r="F827" s="2" t="s">
        <v>18</v>
      </c>
      <c r="G827" s="2" t="s">
        <v>19</v>
      </c>
      <c r="H827" s="2" t="n">
        <v>88.6</v>
      </c>
      <c r="I827" s="2" t="n">
        <v>11.8</v>
      </c>
      <c r="J827" s="2" t="s">
        <v>20</v>
      </c>
      <c r="K827" s="2"/>
      <c r="L827" s="3" t="n">
        <f aca="false">B827-WEEKDAY(B827,2)+1</f>
        <v>46307</v>
      </c>
      <c r="M827" s="4" t="n">
        <f aca="false">IFERROR(INDEX(02_Parâmetros!$B$14:$B$17,MATCH(C827,02_Parâmetros!$A$14:$A$17,0)),"")</f>
        <v>240</v>
      </c>
      <c r="N827" s="2" t="str">
        <f aca="false">IF(OR(H827="",M827=""),"",IF(H827&lt;=M827,"Sim","Não"))</f>
        <v>Sim</v>
      </c>
    </row>
    <row r="828" customFormat="false" ht="15" hidden="false" customHeight="false" outlineLevel="0" collapsed="false">
      <c r="A828" s="2" t="s">
        <v>865</v>
      </c>
      <c r="B828" s="3" t="n">
        <v>46308</v>
      </c>
      <c r="C828" s="2" t="s">
        <v>27</v>
      </c>
      <c r="D828" s="2" t="s">
        <v>38</v>
      </c>
      <c r="E828" s="2" t="s">
        <v>39</v>
      </c>
      <c r="F828" s="2" t="s">
        <v>42</v>
      </c>
      <c r="G828" s="2" t="s">
        <v>19</v>
      </c>
      <c r="H828" s="2" t="n">
        <v>6.9</v>
      </c>
      <c r="I828" s="2" t="n">
        <v>12.4</v>
      </c>
      <c r="J828" s="2" t="s">
        <v>25</v>
      </c>
      <c r="K828" s="2"/>
      <c r="L828" s="3" t="n">
        <f aca="false">B828-WEEKDAY(B828,2)+1</f>
        <v>46307</v>
      </c>
      <c r="M828" s="4" t="n">
        <f aca="false">IFERROR(INDEX(02_Parâmetros!$B$14:$B$17,MATCH(C828,02_Parâmetros!$A$14:$A$17,0)),"")</f>
        <v>10</v>
      </c>
      <c r="N828" s="2" t="str">
        <f aca="false">IF(OR(H828="",M828=""),"",IF(H828&lt;=M828,"Sim","Não"))</f>
        <v>Sim</v>
      </c>
    </row>
    <row r="829" customFormat="false" ht="15" hidden="false" customHeight="false" outlineLevel="0" collapsed="false">
      <c r="A829" s="2" t="s">
        <v>866</v>
      </c>
      <c r="B829" s="3" t="n">
        <v>46308</v>
      </c>
      <c r="C829" s="2" t="s">
        <v>15</v>
      </c>
      <c r="D829" s="2" t="s">
        <v>38</v>
      </c>
      <c r="E829" s="2" t="s">
        <v>39</v>
      </c>
      <c r="F829" s="2" t="s">
        <v>24</v>
      </c>
      <c r="G829" s="2" t="s">
        <v>19</v>
      </c>
      <c r="H829" s="2" t="n">
        <v>0.3</v>
      </c>
      <c r="I829" s="2" t="n">
        <v>19.1</v>
      </c>
      <c r="J829" s="2" t="s">
        <v>20</v>
      </c>
      <c r="K829" s="2" t="n">
        <v>5</v>
      </c>
      <c r="L829" s="3" t="n">
        <f aca="false">B829-WEEKDAY(B829,2)+1</f>
        <v>46307</v>
      </c>
      <c r="M829" s="4" t="n">
        <f aca="false">IFERROR(INDEX(02_Parâmetros!$B$14:$B$17,MATCH(C829,02_Parâmetros!$A$14:$A$17,0)),"")</f>
        <v>1</v>
      </c>
      <c r="N829" s="2" t="str">
        <f aca="false">IF(OR(H829="",M829=""),"",IF(H829&lt;=M829,"Sim","Não"))</f>
        <v>Sim</v>
      </c>
    </row>
    <row r="830" customFormat="false" ht="15" hidden="false" customHeight="false" outlineLevel="0" collapsed="false">
      <c r="A830" s="2" t="s">
        <v>867</v>
      </c>
      <c r="B830" s="3" t="n">
        <v>46308</v>
      </c>
      <c r="C830" s="2" t="s">
        <v>41</v>
      </c>
      <c r="D830" s="2" t="s">
        <v>16</v>
      </c>
      <c r="E830" s="2" t="s">
        <v>17</v>
      </c>
      <c r="F830" s="2" t="s">
        <v>18</v>
      </c>
      <c r="G830" s="2" t="s">
        <v>19</v>
      </c>
      <c r="H830" s="2" t="n">
        <v>501.1</v>
      </c>
      <c r="I830" s="2" t="n">
        <v>10</v>
      </c>
      <c r="J830" s="2" t="s">
        <v>25</v>
      </c>
      <c r="K830" s="2" t="n">
        <v>1</v>
      </c>
      <c r="L830" s="3" t="n">
        <f aca="false">B830-WEEKDAY(B830,2)+1</f>
        <v>46307</v>
      </c>
      <c r="M830" s="4" t="n">
        <f aca="false">IFERROR(INDEX(02_Parâmetros!$B$14:$B$17,MATCH(C830,02_Parâmetros!$A$14:$A$17,0)),"")</f>
        <v>240</v>
      </c>
      <c r="N830" s="2" t="str">
        <f aca="false">IF(OR(H830="",M830=""),"",IF(H830&lt;=M830,"Sim","Não"))</f>
        <v>Não</v>
      </c>
    </row>
    <row r="831" customFormat="false" ht="15" hidden="false" customHeight="false" outlineLevel="0" collapsed="false">
      <c r="A831" s="2" t="s">
        <v>868</v>
      </c>
      <c r="B831" s="3" t="n">
        <v>46308</v>
      </c>
      <c r="C831" s="2" t="s">
        <v>15</v>
      </c>
      <c r="D831" s="2" t="s">
        <v>38</v>
      </c>
      <c r="E831" s="2" t="s">
        <v>47</v>
      </c>
      <c r="F831" s="2" t="s">
        <v>42</v>
      </c>
      <c r="G831" s="2" t="s">
        <v>19</v>
      </c>
      <c r="H831" s="2" t="n">
        <v>0.3</v>
      </c>
      <c r="I831" s="2" t="n">
        <v>15.4</v>
      </c>
      <c r="J831" s="2" t="s">
        <v>25</v>
      </c>
      <c r="K831" s="2" t="n">
        <v>4</v>
      </c>
      <c r="L831" s="3" t="n">
        <f aca="false">B831-WEEKDAY(B831,2)+1</f>
        <v>46307</v>
      </c>
      <c r="M831" s="4" t="n">
        <f aca="false">IFERROR(INDEX(02_Parâmetros!$B$14:$B$17,MATCH(C831,02_Parâmetros!$A$14:$A$17,0)),"")</f>
        <v>1</v>
      </c>
      <c r="N831" s="2" t="str">
        <f aca="false">IF(OR(H831="",M831=""),"",IF(H831&lt;=M831,"Sim","Não"))</f>
        <v>Sim</v>
      </c>
    </row>
    <row r="832" customFormat="false" ht="15" hidden="false" customHeight="false" outlineLevel="0" collapsed="false">
      <c r="A832" s="2" t="s">
        <v>869</v>
      </c>
      <c r="B832" s="3" t="n">
        <v>46308</v>
      </c>
      <c r="C832" s="2" t="s">
        <v>27</v>
      </c>
      <c r="D832" s="2" t="s">
        <v>22</v>
      </c>
      <c r="E832" s="2" t="s">
        <v>28</v>
      </c>
      <c r="F832" s="2" t="s">
        <v>34</v>
      </c>
      <c r="G832" s="2" t="s">
        <v>19</v>
      </c>
      <c r="H832" s="2" t="n">
        <v>9.3</v>
      </c>
      <c r="I832" s="2" t="n">
        <v>10.1</v>
      </c>
      <c r="J832" s="2" t="s">
        <v>20</v>
      </c>
      <c r="K832" s="2" t="n">
        <v>4</v>
      </c>
      <c r="L832" s="3" t="n">
        <f aca="false">B832-WEEKDAY(B832,2)+1</f>
        <v>46307</v>
      </c>
      <c r="M832" s="4" t="n">
        <f aca="false">IFERROR(INDEX(02_Parâmetros!$B$14:$B$17,MATCH(C832,02_Parâmetros!$A$14:$A$17,0)),"")</f>
        <v>10</v>
      </c>
      <c r="N832" s="2" t="str">
        <f aca="false">IF(OR(H832="",M832=""),"",IF(H832&lt;=M832,"Sim","Não"))</f>
        <v>Sim</v>
      </c>
    </row>
    <row r="833" customFormat="false" ht="15" hidden="false" customHeight="false" outlineLevel="0" collapsed="false">
      <c r="A833" s="2" t="s">
        <v>870</v>
      </c>
      <c r="B833" s="3" t="n">
        <v>46308</v>
      </c>
      <c r="C833" s="2" t="s">
        <v>41</v>
      </c>
      <c r="D833" s="2" t="s">
        <v>16</v>
      </c>
      <c r="E833" s="2" t="s">
        <v>31</v>
      </c>
      <c r="F833" s="2" t="s">
        <v>18</v>
      </c>
      <c r="G833" s="2" t="s">
        <v>19</v>
      </c>
      <c r="H833" s="2" t="n">
        <v>88.3</v>
      </c>
      <c r="I833" s="2" t="n">
        <v>7.7</v>
      </c>
      <c r="J833" s="2" t="s">
        <v>20</v>
      </c>
      <c r="K833" s="2"/>
      <c r="L833" s="3" t="n">
        <f aca="false">B833-WEEKDAY(B833,2)+1</f>
        <v>46307</v>
      </c>
      <c r="M833" s="4" t="n">
        <f aca="false">IFERROR(INDEX(02_Parâmetros!$B$14:$B$17,MATCH(C833,02_Parâmetros!$A$14:$A$17,0)),"")</f>
        <v>240</v>
      </c>
      <c r="N833" s="2" t="str">
        <f aca="false">IF(OR(H833="",M833=""),"",IF(H833&lt;=M833,"Sim","Não"))</f>
        <v>Sim</v>
      </c>
    </row>
    <row r="834" customFormat="false" ht="15" hidden="false" customHeight="false" outlineLevel="0" collapsed="false">
      <c r="A834" s="2" t="s">
        <v>871</v>
      </c>
      <c r="B834" s="3" t="n">
        <v>46308</v>
      </c>
      <c r="C834" s="2" t="s">
        <v>27</v>
      </c>
      <c r="D834" s="2" t="s">
        <v>38</v>
      </c>
      <c r="E834" s="2" t="s">
        <v>56</v>
      </c>
      <c r="F834" s="2" t="s">
        <v>24</v>
      </c>
      <c r="G834" s="2" t="s">
        <v>19</v>
      </c>
      <c r="H834" s="2" t="n">
        <v>9.4</v>
      </c>
      <c r="I834" s="2" t="n">
        <v>7.9</v>
      </c>
      <c r="J834" s="2" t="s">
        <v>20</v>
      </c>
      <c r="K834" s="2"/>
      <c r="L834" s="3" t="n">
        <f aca="false">B834-WEEKDAY(B834,2)+1</f>
        <v>46307</v>
      </c>
      <c r="M834" s="4" t="n">
        <f aca="false">IFERROR(INDEX(02_Parâmetros!$B$14:$B$17,MATCH(C834,02_Parâmetros!$A$14:$A$17,0)),"")</f>
        <v>10</v>
      </c>
      <c r="N834" s="2" t="str">
        <f aca="false">IF(OR(H834="",M834=""),"",IF(H834&lt;=M834,"Sim","Não"))</f>
        <v>Sim</v>
      </c>
    </row>
    <row r="835" customFormat="false" ht="15" hidden="false" customHeight="false" outlineLevel="0" collapsed="false">
      <c r="A835" s="2" t="s">
        <v>872</v>
      </c>
      <c r="B835" s="3" t="n">
        <v>46308</v>
      </c>
      <c r="C835" s="2" t="s">
        <v>27</v>
      </c>
      <c r="D835" s="2" t="s">
        <v>16</v>
      </c>
      <c r="E835" s="2" t="s">
        <v>31</v>
      </c>
      <c r="F835" s="2" t="s">
        <v>34</v>
      </c>
      <c r="G835" s="2" t="s">
        <v>19</v>
      </c>
      <c r="H835" s="2" t="n">
        <v>20.1</v>
      </c>
      <c r="I835" s="2" t="n">
        <v>11.2</v>
      </c>
      <c r="J835" s="2" t="s">
        <v>20</v>
      </c>
      <c r="K835" s="2" t="n">
        <v>5</v>
      </c>
      <c r="L835" s="3" t="n">
        <f aca="false">B835-WEEKDAY(B835,2)+1</f>
        <v>46307</v>
      </c>
      <c r="M835" s="4" t="n">
        <f aca="false">IFERROR(INDEX(02_Parâmetros!$B$14:$B$17,MATCH(C835,02_Parâmetros!$A$14:$A$17,0)),"")</f>
        <v>10</v>
      </c>
      <c r="N835" s="2" t="str">
        <f aca="false">IF(OR(H835="",M835=""),"",IF(H835&lt;=M835,"Sim","Não"))</f>
        <v>Não</v>
      </c>
    </row>
    <row r="836" customFormat="false" ht="15" hidden="false" customHeight="false" outlineLevel="0" collapsed="false">
      <c r="A836" s="2" t="s">
        <v>873</v>
      </c>
      <c r="B836" s="3" t="n">
        <v>46308</v>
      </c>
      <c r="C836" s="2" t="s">
        <v>41</v>
      </c>
      <c r="D836" s="2" t="s">
        <v>38</v>
      </c>
      <c r="E836" s="2" t="s">
        <v>39</v>
      </c>
      <c r="F836" s="2" t="s">
        <v>42</v>
      </c>
      <c r="G836" s="2" t="s">
        <v>19</v>
      </c>
      <c r="H836" s="2" t="n">
        <v>141.7</v>
      </c>
      <c r="I836" s="2" t="n">
        <v>8.1</v>
      </c>
      <c r="J836" s="2" t="s">
        <v>20</v>
      </c>
      <c r="K836" s="2" t="n">
        <v>5</v>
      </c>
      <c r="L836" s="3" t="n">
        <f aca="false">B836-WEEKDAY(B836,2)+1</f>
        <v>46307</v>
      </c>
      <c r="M836" s="4" t="n">
        <f aca="false">IFERROR(INDEX(02_Parâmetros!$B$14:$B$17,MATCH(C836,02_Parâmetros!$A$14:$A$17,0)),"")</f>
        <v>240</v>
      </c>
      <c r="N836" s="2" t="str">
        <f aca="false">IF(OR(H836="",M836=""),"",IF(H836&lt;=M836,"Sim","Não"))</f>
        <v>Sim</v>
      </c>
    </row>
    <row r="837" customFormat="false" ht="15" hidden="false" customHeight="false" outlineLevel="0" collapsed="false">
      <c r="A837" s="2" t="s">
        <v>874</v>
      </c>
      <c r="B837" s="3" t="n">
        <v>46308</v>
      </c>
      <c r="C837" s="2" t="s">
        <v>27</v>
      </c>
      <c r="D837" s="2" t="s">
        <v>22</v>
      </c>
      <c r="E837" s="2" t="s">
        <v>28</v>
      </c>
      <c r="F837" s="2" t="s">
        <v>70</v>
      </c>
      <c r="G837" s="2" t="s">
        <v>19</v>
      </c>
      <c r="H837" s="2" t="n">
        <v>5.6</v>
      </c>
      <c r="I837" s="2" t="n">
        <v>9.4</v>
      </c>
      <c r="J837" s="2" t="s">
        <v>20</v>
      </c>
      <c r="K837" s="2"/>
      <c r="L837" s="3" t="n">
        <f aca="false">B837-WEEKDAY(B837,2)+1</f>
        <v>46307</v>
      </c>
      <c r="M837" s="4" t="n">
        <f aca="false">IFERROR(INDEX(02_Parâmetros!$B$14:$B$17,MATCH(C837,02_Parâmetros!$A$14:$A$17,0)),"")</f>
        <v>10</v>
      </c>
      <c r="N837" s="2" t="str">
        <f aca="false">IF(OR(H837="",M837=""),"",IF(H837&lt;=M837,"Sim","Não"))</f>
        <v>Sim</v>
      </c>
    </row>
    <row r="838" customFormat="false" ht="15" hidden="false" customHeight="false" outlineLevel="0" collapsed="false">
      <c r="A838" s="2" t="s">
        <v>875</v>
      </c>
      <c r="B838" s="3" t="n">
        <v>46308</v>
      </c>
      <c r="C838" s="2" t="s">
        <v>44</v>
      </c>
      <c r="D838" s="2" t="s">
        <v>16</v>
      </c>
      <c r="E838" s="2" t="s">
        <v>31</v>
      </c>
      <c r="F838" s="2" t="s">
        <v>42</v>
      </c>
      <c r="G838" s="2" t="s">
        <v>19</v>
      </c>
      <c r="H838" s="2" t="n">
        <v>1.1</v>
      </c>
      <c r="I838" s="2" t="n">
        <v>9.3</v>
      </c>
      <c r="J838" s="2" t="s">
        <v>20</v>
      </c>
      <c r="K838" s="2"/>
      <c r="L838" s="3" t="n">
        <f aca="false">B838-WEEKDAY(B838,2)+1</f>
        <v>46307</v>
      </c>
      <c r="M838" s="4" t="n">
        <f aca="false">IFERROR(INDEX(02_Parâmetros!$B$14:$B$17,MATCH(C838,02_Parâmetros!$A$14:$A$17,0)),"")</f>
        <v>2</v>
      </c>
      <c r="N838" s="2" t="str">
        <f aca="false">IF(OR(H838="",M838=""),"",IF(H838&lt;=M838,"Sim","Não"))</f>
        <v>Sim</v>
      </c>
    </row>
    <row r="839" customFormat="false" ht="15" hidden="false" customHeight="false" outlineLevel="0" collapsed="false">
      <c r="A839" s="2" t="s">
        <v>876</v>
      </c>
      <c r="B839" s="3" t="n">
        <v>46308</v>
      </c>
      <c r="C839" s="2" t="s">
        <v>27</v>
      </c>
      <c r="D839" s="2" t="s">
        <v>16</v>
      </c>
      <c r="E839" s="2" t="s">
        <v>17</v>
      </c>
      <c r="F839" s="2" t="s">
        <v>18</v>
      </c>
      <c r="G839" s="2" t="s">
        <v>19</v>
      </c>
      <c r="H839" s="2" t="n">
        <v>5.8</v>
      </c>
      <c r="I839" s="2" t="n">
        <v>6.4</v>
      </c>
      <c r="J839" s="2" t="s">
        <v>20</v>
      </c>
      <c r="K839" s="2"/>
      <c r="L839" s="3" t="n">
        <f aca="false">B839-WEEKDAY(B839,2)+1</f>
        <v>46307</v>
      </c>
      <c r="M839" s="4" t="n">
        <f aca="false">IFERROR(INDEX(02_Parâmetros!$B$14:$B$17,MATCH(C839,02_Parâmetros!$A$14:$A$17,0)),"")</f>
        <v>10</v>
      </c>
      <c r="N839" s="2" t="str">
        <f aca="false">IF(OR(H839="",M839=""),"",IF(H839&lt;=M839,"Sim","Não"))</f>
        <v>Sim</v>
      </c>
    </row>
    <row r="840" customFormat="false" ht="15" hidden="false" customHeight="false" outlineLevel="0" collapsed="false">
      <c r="A840" s="2" t="s">
        <v>877</v>
      </c>
      <c r="B840" s="3" t="n">
        <v>46308</v>
      </c>
      <c r="C840" s="2" t="s">
        <v>44</v>
      </c>
      <c r="D840" s="2" t="s">
        <v>22</v>
      </c>
      <c r="E840" s="2" t="s">
        <v>28</v>
      </c>
      <c r="F840" s="2" t="s">
        <v>18</v>
      </c>
      <c r="G840" s="2" t="s">
        <v>19</v>
      </c>
      <c r="H840" s="2" t="n">
        <v>4.8</v>
      </c>
      <c r="I840" s="2" t="n">
        <v>10.2</v>
      </c>
      <c r="J840" s="2" t="s">
        <v>20</v>
      </c>
      <c r="K840" s="2" t="n">
        <v>5</v>
      </c>
      <c r="L840" s="3" t="n">
        <f aca="false">B840-WEEKDAY(B840,2)+1</f>
        <v>46307</v>
      </c>
      <c r="M840" s="4" t="n">
        <f aca="false">IFERROR(INDEX(02_Parâmetros!$B$14:$B$17,MATCH(C840,02_Parâmetros!$A$14:$A$17,0)),"")</f>
        <v>2</v>
      </c>
      <c r="N840" s="2" t="str">
        <f aca="false">IF(OR(H840="",M840=""),"",IF(H840&lt;=M840,"Sim","Não"))</f>
        <v>Não</v>
      </c>
    </row>
    <row r="841" customFormat="false" ht="15" hidden="false" customHeight="false" outlineLevel="0" collapsed="false">
      <c r="A841" s="2" t="s">
        <v>878</v>
      </c>
      <c r="B841" s="3" t="n">
        <v>46308</v>
      </c>
      <c r="C841" s="2" t="s">
        <v>27</v>
      </c>
      <c r="D841" s="2" t="s">
        <v>22</v>
      </c>
      <c r="E841" s="2" t="s">
        <v>28</v>
      </c>
      <c r="F841" s="2" t="s">
        <v>70</v>
      </c>
      <c r="G841" s="2" t="s">
        <v>19</v>
      </c>
      <c r="H841" s="2" t="n">
        <v>10</v>
      </c>
      <c r="I841" s="2" t="n">
        <v>7</v>
      </c>
      <c r="J841" s="2" t="s">
        <v>20</v>
      </c>
      <c r="K841" s="2" t="n">
        <v>5</v>
      </c>
      <c r="L841" s="3" t="n">
        <f aca="false">B841-WEEKDAY(B841,2)+1</f>
        <v>46307</v>
      </c>
      <c r="M841" s="4" t="n">
        <f aca="false">IFERROR(INDEX(02_Parâmetros!$B$14:$B$17,MATCH(C841,02_Parâmetros!$A$14:$A$17,0)),"")</f>
        <v>10</v>
      </c>
      <c r="N841" s="2" t="str">
        <f aca="false">IF(OR(H841="",M841=""),"",IF(H841&lt;=M841,"Sim","Não"))</f>
        <v>Sim</v>
      </c>
    </row>
    <row r="842" customFormat="false" ht="15" hidden="false" customHeight="false" outlineLevel="0" collapsed="false">
      <c r="A842" s="2" t="s">
        <v>879</v>
      </c>
      <c r="B842" s="3" t="n">
        <v>46308</v>
      </c>
      <c r="C842" s="2" t="s">
        <v>41</v>
      </c>
      <c r="D842" s="2" t="s">
        <v>38</v>
      </c>
      <c r="E842" s="2" t="s">
        <v>56</v>
      </c>
      <c r="F842" s="2" t="s">
        <v>70</v>
      </c>
      <c r="G842" s="2" t="s">
        <v>19</v>
      </c>
      <c r="H842" s="2" t="n">
        <v>137.8</v>
      </c>
      <c r="I842" s="2" t="n">
        <v>9.9</v>
      </c>
      <c r="J842" s="2" t="s">
        <v>20</v>
      </c>
      <c r="K842" s="2"/>
      <c r="L842" s="3" t="n">
        <f aca="false">B842-WEEKDAY(B842,2)+1</f>
        <v>46307</v>
      </c>
      <c r="M842" s="4" t="n">
        <f aca="false">IFERROR(INDEX(02_Parâmetros!$B$14:$B$17,MATCH(C842,02_Parâmetros!$A$14:$A$17,0)),"")</f>
        <v>240</v>
      </c>
      <c r="N842" s="2" t="str">
        <f aca="false">IF(OR(H842="",M842=""),"",IF(H842&lt;=M842,"Sim","Não"))</f>
        <v>Sim</v>
      </c>
    </row>
    <row r="843" customFormat="false" ht="15" hidden="false" customHeight="false" outlineLevel="0" collapsed="false">
      <c r="A843" s="2" t="s">
        <v>880</v>
      </c>
      <c r="B843" s="3" t="n">
        <v>46308</v>
      </c>
      <c r="C843" s="2" t="s">
        <v>41</v>
      </c>
      <c r="D843" s="2" t="s">
        <v>22</v>
      </c>
      <c r="E843" s="2" t="s">
        <v>23</v>
      </c>
      <c r="F843" s="2" t="s">
        <v>42</v>
      </c>
      <c r="G843" s="2" t="s">
        <v>19</v>
      </c>
      <c r="H843" s="2" t="n">
        <v>494.8</v>
      </c>
      <c r="I843" s="2" t="n">
        <v>8.9</v>
      </c>
      <c r="J843" s="2" t="s">
        <v>25</v>
      </c>
      <c r="K843" s="2" t="n">
        <v>1</v>
      </c>
      <c r="L843" s="3" t="n">
        <f aca="false">B843-WEEKDAY(B843,2)+1</f>
        <v>46307</v>
      </c>
      <c r="M843" s="4" t="n">
        <f aca="false">IFERROR(INDEX(02_Parâmetros!$B$14:$B$17,MATCH(C843,02_Parâmetros!$A$14:$A$17,0)),"")</f>
        <v>240</v>
      </c>
      <c r="N843" s="2" t="str">
        <f aca="false">IF(OR(H843="",M843=""),"",IF(H843&lt;=M843,"Sim","Não"))</f>
        <v>Não</v>
      </c>
    </row>
    <row r="844" customFormat="false" ht="15" hidden="false" customHeight="false" outlineLevel="0" collapsed="false">
      <c r="A844" s="2" t="s">
        <v>881</v>
      </c>
      <c r="B844" s="3" t="n">
        <v>46308</v>
      </c>
      <c r="C844" s="2" t="s">
        <v>27</v>
      </c>
      <c r="D844" s="2" t="s">
        <v>22</v>
      </c>
      <c r="E844" s="2" t="s">
        <v>28</v>
      </c>
      <c r="F844" s="2" t="s">
        <v>70</v>
      </c>
      <c r="G844" s="2" t="s">
        <v>19</v>
      </c>
      <c r="H844" s="2" t="n">
        <v>6.4</v>
      </c>
      <c r="I844" s="2" t="n">
        <v>6.8</v>
      </c>
      <c r="J844" s="2" t="s">
        <v>20</v>
      </c>
      <c r="K844" s="2" t="n">
        <v>4</v>
      </c>
      <c r="L844" s="3" t="n">
        <f aca="false">B844-WEEKDAY(B844,2)+1</f>
        <v>46307</v>
      </c>
      <c r="M844" s="4" t="n">
        <f aca="false">IFERROR(INDEX(02_Parâmetros!$B$14:$B$17,MATCH(C844,02_Parâmetros!$A$14:$A$17,0)),"")</f>
        <v>10</v>
      </c>
      <c r="N844" s="2" t="str">
        <f aca="false">IF(OR(H844="",M844=""),"",IF(H844&lt;=M844,"Sim","Não"))</f>
        <v>Sim</v>
      </c>
    </row>
    <row r="845" customFormat="false" ht="15" hidden="false" customHeight="false" outlineLevel="0" collapsed="false">
      <c r="A845" s="2" t="s">
        <v>882</v>
      </c>
      <c r="B845" s="3" t="n">
        <v>46308</v>
      </c>
      <c r="C845" s="2" t="s">
        <v>44</v>
      </c>
      <c r="D845" s="2" t="s">
        <v>22</v>
      </c>
      <c r="E845" s="2" t="s">
        <v>23</v>
      </c>
      <c r="F845" s="2" t="s">
        <v>32</v>
      </c>
      <c r="G845" s="2" t="s">
        <v>19</v>
      </c>
      <c r="H845" s="2" t="n">
        <v>1.2</v>
      </c>
      <c r="I845" s="2" t="n">
        <v>5.2</v>
      </c>
      <c r="J845" s="2" t="s">
        <v>20</v>
      </c>
      <c r="K845" s="2"/>
      <c r="L845" s="3" t="n">
        <f aca="false">B845-WEEKDAY(B845,2)+1</f>
        <v>46307</v>
      </c>
      <c r="M845" s="4" t="n">
        <f aca="false">IFERROR(INDEX(02_Parâmetros!$B$14:$B$17,MATCH(C845,02_Parâmetros!$A$14:$A$17,0)),"")</f>
        <v>2</v>
      </c>
      <c r="N845" s="2" t="str">
        <f aca="false">IF(OR(H845="",M845=""),"",IF(H845&lt;=M845,"Sim","Não"))</f>
        <v>Sim</v>
      </c>
    </row>
    <row r="846" customFormat="false" ht="15" hidden="false" customHeight="false" outlineLevel="0" collapsed="false">
      <c r="A846" s="2" t="s">
        <v>883</v>
      </c>
      <c r="B846" s="3" t="n">
        <v>46308</v>
      </c>
      <c r="C846" s="2" t="s">
        <v>27</v>
      </c>
      <c r="D846" s="2" t="s">
        <v>16</v>
      </c>
      <c r="E846" s="2" t="s">
        <v>31</v>
      </c>
      <c r="F846" s="2" t="s">
        <v>18</v>
      </c>
      <c r="G846" s="2" t="s">
        <v>19</v>
      </c>
      <c r="H846" s="2" t="n">
        <v>9.8</v>
      </c>
      <c r="I846" s="2" t="n">
        <v>6.3</v>
      </c>
      <c r="J846" s="2" t="s">
        <v>20</v>
      </c>
      <c r="K846" s="2"/>
      <c r="L846" s="3" t="n">
        <f aca="false">B846-WEEKDAY(B846,2)+1</f>
        <v>46307</v>
      </c>
      <c r="M846" s="4" t="n">
        <f aca="false">IFERROR(INDEX(02_Parâmetros!$B$14:$B$17,MATCH(C846,02_Parâmetros!$A$14:$A$17,0)),"")</f>
        <v>10</v>
      </c>
      <c r="N846" s="2" t="str">
        <f aca="false">IF(OR(H846="",M846=""),"",IF(H846&lt;=M846,"Sim","Não"))</f>
        <v>Sim</v>
      </c>
    </row>
    <row r="847" customFormat="false" ht="15" hidden="false" customHeight="false" outlineLevel="0" collapsed="false">
      <c r="A847" s="2" t="s">
        <v>884</v>
      </c>
      <c r="B847" s="3" t="n">
        <v>46308</v>
      </c>
      <c r="C847" s="2" t="s">
        <v>41</v>
      </c>
      <c r="D847" s="2" t="s">
        <v>38</v>
      </c>
      <c r="E847" s="2" t="s">
        <v>39</v>
      </c>
      <c r="F847" s="2" t="s">
        <v>34</v>
      </c>
      <c r="G847" s="2" t="s">
        <v>19</v>
      </c>
      <c r="H847" s="2" t="n">
        <v>364.4</v>
      </c>
      <c r="I847" s="2" t="n">
        <v>8.1</v>
      </c>
      <c r="J847" s="2" t="s">
        <v>20</v>
      </c>
      <c r="K847" s="2"/>
      <c r="L847" s="3" t="n">
        <f aca="false">B847-WEEKDAY(B847,2)+1</f>
        <v>46307</v>
      </c>
      <c r="M847" s="4" t="n">
        <f aca="false">IFERROR(INDEX(02_Parâmetros!$B$14:$B$17,MATCH(C847,02_Parâmetros!$A$14:$A$17,0)),"")</f>
        <v>240</v>
      </c>
      <c r="N847" s="2" t="str">
        <f aca="false">IF(OR(H847="",M847=""),"",IF(H847&lt;=M847,"Sim","Não"))</f>
        <v>Não</v>
      </c>
    </row>
    <row r="848" customFormat="false" ht="15" hidden="false" customHeight="false" outlineLevel="0" collapsed="false">
      <c r="A848" s="2" t="s">
        <v>885</v>
      </c>
      <c r="B848" s="3" t="n">
        <v>46308</v>
      </c>
      <c r="C848" s="2" t="s">
        <v>27</v>
      </c>
      <c r="D848" s="2" t="s">
        <v>38</v>
      </c>
      <c r="E848" s="2" t="s">
        <v>47</v>
      </c>
      <c r="F848" s="2" t="s">
        <v>18</v>
      </c>
      <c r="G848" s="2" t="s">
        <v>19</v>
      </c>
      <c r="H848" s="2" t="n">
        <v>3.8</v>
      </c>
      <c r="I848" s="2" t="n">
        <v>12.5</v>
      </c>
      <c r="J848" s="2" t="s">
        <v>20</v>
      </c>
      <c r="K848" s="2"/>
      <c r="L848" s="3" t="n">
        <f aca="false">B848-WEEKDAY(B848,2)+1</f>
        <v>46307</v>
      </c>
      <c r="M848" s="4" t="n">
        <f aca="false">IFERROR(INDEX(02_Parâmetros!$B$14:$B$17,MATCH(C848,02_Parâmetros!$A$14:$A$17,0)),"")</f>
        <v>10</v>
      </c>
      <c r="N848" s="2" t="str">
        <f aca="false">IF(OR(H848="",M848=""),"",IF(H848&lt;=M848,"Sim","Não"))</f>
        <v>Sim</v>
      </c>
    </row>
    <row r="849" customFormat="false" ht="15" hidden="false" customHeight="false" outlineLevel="0" collapsed="false">
      <c r="A849" s="2" t="s">
        <v>886</v>
      </c>
      <c r="B849" s="3" t="n">
        <v>46308</v>
      </c>
      <c r="C849" s="2" t="s">
        <v>15</v>
      </c>
      <c r="D849" s="2" t="s">
        <v>22</v>
      </c>
      <c r="E849" s="2" t="s">
        <v>23</v>
      </c>
      <c r="F849" s="2" t="s">
        <v>18</v>
      </c>
      <c r="G849" s="2" t="s">
        <v>19</v>
      </c>
      <c r="H849" s="2" t="n">
        <v>2.7</v>
      </c>
      <c r="I849" s="2" t="n">
        <v>13.8</v>
      </c>
      <c r="J849" s="2" t="s">
        <v>25</v>
      </c>
      <c r="K849" s="2" t="n">
        <v>5</v>
      </c>
      <c r="L849" s="3" t="n">
        <f aca="false">B849-WEEKDAY(B849,2)+1</f>
        <v>46307</v>
      </c>
      <c r="M849" s="4" t="n">
        <f aca="false">IFERROR(INDEX(02_Parâmetros!$B$14:$B$17,MATCH(C849,02_Parâmetros!$A$14:$A$17,0)),"")</f>
        <v>1</v>
      </c>
      <c r="N849" s="2" t="str">
        <f aca="false">IF(OR(H849="",M849=""),"",IF(H849&lt;=M849,"Sim","Não"))</f>
        <v>Não</v>
      </c>
    </row>
    <row r="850" customFormat="false" ht="15" hidden="false" customHeight="false" outlineLevel="0" collapsed="false">
      <c r="A850" s="2" t="s">
        <v>887</v>
      </c>
      <c r="B850" s="3" t="n">
        <v>46308</v>
      </c>
      <c r="C850" s="2" t="s">
        <v>44</v>
      </c>
      <c r="D850" s="2" t="s">
        <v>16</v>
      </c>
      <c r="E850" s="2" t="s">
        <v>17</v>
      </c>
      <c r="F850" s="2" t="s">
        <v>32</v>
      </c>
      <c r="G850" s="2" t="s">
        <v>19</v>
      </c>
      <c r="H850" s="2" t="n">
        <v>1.3</v>
      </c>
      <c r="I850" s="2" t="n">
        <v>5.9</v>
      </c>
      <c r="J850" s="2" t="s">
        <v>25</v>
      </c>
      <c r="K850" s="2"/>
      <c r="L850" s="3" t="n">
        <f aca="false">B850-WEEKDAY(B850,2)+1</f>
        <v>46307</v>
      </c>
      <c r="M850" s="4" t="n">
        <f aca="false">IFERROR(INDEX(02_Parâmetros!$B$14:$B$17,MATCH(C850,02_Parâmetros!$A$14:$A$17,0)),"")</f>
        <v>2</v>
      </c>
      <c r="N850" s="2" t="str">
        <f aca="false">IF(OR(H850="",M850=""),"",IF(H850&lt;=M850,"Sim","Não"))</f>
        <v>Sim</v>
      </c>
    </row>
    <row r="851" customFormat="false" ht="15" hidden="false" customHeight="false" outlineLevel="0" collapsed="false">
      <c r="A851" s="2" t="s">
        <v>888</v>
      </c>
      <c r="B851" s="3" t="n">
        <v>46308</v>
      </c>
      <c r="C851" s="2" t="s">
        <v>15</v>
      </c>
      <c r="D851" s="2" t="s">
        <v>38</v>
      </c>
      <c r="E851" s="2" t="s">
        <v>56</v>
      </c>
      <c r="F851" s="2" t="s">
        <v>42</v>
      </c>
      <c r="G851" s="2" t="s">
        <v>19</v>
      </c>
      <c r="H851" s="2" t="n">
        <v>1</v>
      </c>
      <c r="I851" s="2" t="n">
        <v>17.4</v>
      </c>
      <c r="J851" s="2" t="s">
        <v>20</v>
      </c>
      <c r="K851" s="2" t="n">
        <v>5</v>
      </c>
      <c r="L851" s="3" t="n">
        <f aca="false">B851-WEEKDAY(B851,2)+1</f>
        <v>46307</v>
      </c>
      <c r="M851" s="4" t="n">
        <f aca="false">IFERROR(INDEX(02_Parâmetros!$B$14:$B$17,MATCH(C851,02_Parâmetros!$A$14:$A$17,0)),"")</f>
        <v>1</v>
      </c>
      <c r="N851" s="2" t="str">
        <f aca="false">IF(OR(H851="",M851=""),"",IF(H851&lt;=M851,"Sim","Não"))</f>
        <v>Sim</v>
      </c>
    </row>
    <row r="852" customFormat="false" ht="15" hidden="false" customHeight="false" outlineLevel="0" collapsed="false">
      <c r="A852" s="2" t="s">
        <v>889</v>
      </c>
      <c r="B852" s="3" t="n">
        <v>46308</v>
      </c>
      <c r="C852" s="2" t="s">
        <v>44</v>
      </c>
      <c r="D852" s="2" t="s">
        <v>16</v>
      </c>
      <c r="E852" s="2" t="s">
        <v>17</v>
      </c>
      <c r="F852" s="2" t="s">
        <v>18</v>
      </c>
      <c r="G852" s="2" t="s">
        <v>19</v>
      </c>
      <c r="H852" s="2" t="n">
        <v>0.7</v>
      </c>
      <c r="I852" s="2" t="n">
        <v>8.7</v>
      </c>
      <c r="J852" s="2" t="s">
        <v>25</v>
      </c>
      <c r="K852" s="2"/>
      <c r="L852" s="3" t="n">
        <f aca="false">B852-WEEKDAY(B852,2)+1</f>
        <v>46307</v>
      </c>
      <c r="M852" s="4" t="n">
        <f aca="false">IFERROR(INDEX(02_Parâmetros!$B$14:$B$17,MATCH(C852,02_Parâmetros!$A$14:$A$17,0)),"")</f>
        <v>2</v>
      </c>
      <c r="N852" s="2" t="str">
        <f aca="false">IF(OR(H852="",M852=""),"",IF(H852&lt;=M852,"Sim","Não"))</f>
        <v>Sim</v>
      </c>
    </row>
    <row r="853" customFormat="false" ht="15" hidden="false" customHeight="false" outlineLevel="0" collapsed="false">
      <c r="A853" s="2" t="s">
        <v>890</v>
      </c>
      <c r="B853" s="3" t="n">
        <v>46308</v>
      </c>
      <c r="C853" s="2" t="s">
        <v>27</v>
      </c>
      <c r="D853" s="2" t="s">
        <v>16</v>
      </c>
      <c r="E853" s="2" t="s">
        <v>31</v>
      </c>
      <c r="F853" s="2" t="s">
        <v>18</v>
      </c>
      <c r="G853" s="2" t="s">
        <v>19</v>
      </c>
      <c r="H853" s="2" t="n">
        <v>8.8</v>
      </c>
      <c r="I853" s="2" t="n">
        <v>9.2</v>
      </c>
      <c r="J853" s="2" t="s">
        <v>20</v>
      </c>
      <c r="K853" s="2"/>
      <c r="L853" s="3" t="n">
        <f aca="false">B853-WEEKDAY(B853,2)+1</f>
        <v>46307</v>
      </c>
      <c r="M853" s="4" t="n">
        <f aca="false">IFERROR(INDEX(02_Parâmetros!$B$14:$B$17,MATCH(C853,02_Parâmetros!$A$14:$A$17,0)),"")</f>
        <v>10</v>
      </c>
      <c r="N853" s="2" t="str">
        <f aca="false">IF(OR(H853="",M853=""),"",IF(H853&lt;=M853,"Sim","Não"))</f>
        <v>Sim</v>
      </c>
    </row>
    <row r="854" customFormat="false" ht="15" hidden="false" customHeight="false" outlineLevel="0" collapsed="false">
      <c r="A854" s="2" t="s">
        <v>891</v>
      </c>
      <c r="B854" s="3" t="n">
        <v>46308</v>
      </c>
      <c r="C854" s="2" t="s">
        <v>27</v>
      </c>
      <c r="D854" s="2" t="s">
        <v>16</v>
      </c>
      <c r="E854" s="2" t="s">
        <v>31</v>
      </c>
      <c r="F854" s="2" t="s">
        <v>32</v>
      </c>
      <c r="G854" s="2" t="s">
        <v>19</v>
      </c>
      <c r="H854" s="2" t="n">
        <v>7.7</v>
      </c>
      <c r="I854" s="2" t="n">
        <v>6.3</v>
      </c>
      <c r="J854" s="2" t="s">
        <v>20</v>
      </c>
      <c r="K854" s="2" t="n">
        <v>5</v>
      </c>
      <c r="L854" s="3" t="n">
        <f aca="false">B854-WEEKDAY(B854,2)+1</f>
        <v>46307</v>
      </c>
      <c r="M854" s="4" t="n">
        <f aca="false">IFERROR(INDEX(02_Parâmetros!$B$14:$B$17,MATCH(C854,02_Parâmetros!$A$14:$A$17,0)),"")</f>
        <v>10</v>
      </c>
      <c r="N854" s="2" t="str">
        <f aca="false">IF(OR(H854="",M854=""),"",IF(H854&lt;=M854,"Sim","Não"))</f>
        <v>Sim</v>
      </c>
    </row>
    <row r="855" customFormat="false" ht="15" hidden="false" customHeight="false" outlineLevel="0" collapsed="false">
      <c r="A855" s="2" t="s">
        <v>892</v>
      </c>
      <c r="B855" s="3" t="n">
        <v>46309</v>
      </c>
      <c r="C855" s="2" t="s">
        <v>41</v>
      </c>
      <c r="D855" s="2" t="s">
        <v>22</v>
      </c>
      <c r="E855" s="2" t="s">
        <v>28</v>
      </c>
      <c r="F855" s="2" t="s">
        <v>18</v>
      </c>
      <c r="G855" s="2" t="s">
        <v>19</v>
      </c>
      <c r="H855" s="2" t="n">
        <v>90.6</v>
      </c>
      <c r="I855" s="2" t="n">
        <v>7.6</v>
      </c>
      <c r="J855" s="2" t="s">
        <v>25</v>
      </c>
      <c r="K855" s="2" t="n">
        <v>4</v>
      </c>
      <c r="L855" s="3" t="n">
        <f aca="false">B855-WEEKDAY(B855,2)+1</f>
        <v>46307</v>
      </c>
      <c r="M855" s="4" t="n">
        <f aca="false">IFERROR(INDEX(02_Parâmetros!$B$14:$B$17,MATCH(C855,02_Parâmetros!$A$14:$A$17,0)),"")</f>
        <v>240</v>
      </c>
      <c r="N855" s="2" t="str">
        <f aca="false">IF(OR(H855="",M855=""),"",IF(H855&lt;=M855,"Sim","Não"))</f>
        <v>Sim</v>
      </c>
    </row>
    <row r="856" customFormat="false" ht="15" hidden="false" customHeight="false" outlineLevel="0" collapsed="false">
      <c r="A856" s="2" t="s">
        <v>893</v>
      </c>
      <c r="B856" s="3" t="n">
        <v>46309</v>
      </c>
      <c r="C856" s="2" t="s">
        <v>27</v>
      </c>
      <c r="D856" s="2" t="s">
        <v>16</v>
      </c>
      <c r="E856" s="2" t="s">
        <v>17</v>
      </c>
      <c r="F856" s="2" t="s">
        <v>18</v>
      </c>
      <c r="G856" s="2" t="s">
        <v>19</v>
      </c>
      <c r="H856" s="2" t="n">
        <v>9.5</v>
      </c>
      <c r="I856" s="2" t="n">
        <v>8.8</v>
      </c>
      <c r="J856" s="2" t="s">
        <v>20</v>
      </c>
      <c r="K856" s="2"/>
      <c r="L856" s="3" t="n">
        <f aca="false">B856-WEEKDAY(B856,2)+1</f>
        <v>46307</v>
      </c>
      <c r="M856" s="4" t="n">
        <f aca="false">IFERROR(INDEX(02_Parâmetros!$B$14:$B$17,MATCH(C856,02_Parâmetros!$A$14:$A$17,0)),"")</f>
        <v>10</v>
      </c>
      <c r="N856" s="2" t="str">
        <f aca="false">IF(OR(H856="",M856=""),"",IF(H856&lt;=M856,"Sim","Não"))</f>
        <v>Sim</v>
      </c>
    </row>
    <row r="857" customFormat="false" ht="15" hidden="false" customHeight="false" outlineLevel="0" collapsed="false">
      <c r="A857" s="2" t="s">
        <v>894</v>
      </c>
      <c r="B857" s="3" t="n">
        <v>46309</v>
      </c>
      <c r="C857" s="2" t="s">
        <v>41</v>
      </c>
      <c r="D857" s="2" t="s">
        <v>38</v>
      </c>
      <c r="E857" s="2" t="s">
        <v>39</v>
      </c>
      <c r="F857" s="2" t="s">
        <v>18</v>
      </c>
      <c r="G857" s="2" t="s">
        <v>19</v>
      </c>
      <c r="H857" s="2" t="n">
        <v>673.5</v>
      </c>
      <c r="I857" s="2" t="n">
        <v>10.2</v>
      </c>
      <c r="J857" s="2" t="s">
        <v>20</v>
      </c>
      <c r="K857" s="2" t="n">
        <v>5</v>
      </c>
      <c r="L857" s="3" t="n">
        <f aca="false">B857-WEEKDAY(B857,2)+1</f>
        <v>46307</v>
      </c>
      <c r="M857" s="4" t="n">
        <f aca="false">IFERROR(INDEX(02_Parâmetros!$B$14:$B$17,MATCH(C857,02_Parâmetros!$A$14:$A$17,0)),"")</f>
        <v>240</v>
      </c>
      <c r="N857" s="2" t="str">
        <f aca="false">IF(OR(H857="",M857=""),"",IF(H857&lt;=M857,"Sim","Não"))</f>
        <v>Não</v>
      </c>
    </row>
    <row r="858" customFormat="false" ht="15" hidden="false" customHeight="false" outlineLevel="0" collapsed="false">
      <c r="A858" s="2" t="s">
        <v>895</v>
      </c>
      <c r="B858" s="3" t="n">
        <v>46309</v>
      </c>
      <c r="C858" s="2" t="s">
        <v>41</v>
      </c>
      <c r="D858" s="2" t="s">
        <v>38</v>
      </c>
      <c r="E858" s="2" t="s">
        <v>39</v>
      </c>
      <c r="F858" s="2" t="s">
        <v>18</v>
      </c>
      <c r="G858" s="2" t="s">
        <v>19</v>
      </c>
      <c r="H858" s="2" t="n">
        <v>122.1</v>
      </c>
      <c r="I858" s="2" t="n">
        <v>8.8</v>
      </c>
      <c r="J858" s="2" t="s">
        <v>20</v>
      </c>
      <c r="K858" s="2" t="n">
        <v>5</v>
      </c>
      <c r="L858" s="3" t="n">
        <f aca="false">B858-WEEKDAY(B858,2)+1</f>
        <v>46307</v>
      </c>
      <c r="M858" s="4" t="n">
        <f aca="false">IFERROR(INDEX(02_Parâmetros!$B$14:$B$17,MATCH(C858,02_Parâmetros!$A$14:$A$17,0)),"")</f>
        <v>240</v>
      </c>
      <c r="N858" s="2" t="str">
        <f aca="false">IF(OR(H858="",M858=""),"",IF(H858&lt;=M858,"Sim","Não"))</f>
        <v>Sim</v>
      </c>
    </row>
    <row r="859" customFormat="false" ht="15" hidden="false" customHeight="false" outlineLevel="0" collapsed="false">
      <c r="A859" s="2" t="s">
        <v>896</v>
      </c>
      <c r="B859" s="3" t="n">
        <v>46309</v>
      </c>
      <c r="C859" s="2" t="s">
        <v>15</v>
      </c>
      <c r="D859" s="2" t="s">
        <v>16</v>
      </c>
      <c r="E859" s="2" t="s">
        <v>17</v>
      </c>
      <c r="F859" s="2" t="s">
        <v>18</v>
      </c>
      <c r="G859" s="2" t="s">
        <v>19</v>
      </c>
      <c r="H859" s="2" t="n">
        <v>0.8</v>
      </c>
      <c r="I859" s="2" t="n">
        <v>10.7</v>
      </c>
      <c r="J859" s="2" t="s">
        <v>20</v>
      </c>
      <c r="K859" s="2"/>
      <c r="L859" s="3" t="n">
        <f aca="false">B859-WEEKDAY(B859,2)+1</f>
        <v>46307</v>
      </c>
      <c r="M859" s="4" t="n">
        <f aca="false">IFERROR(INDEX(02_Parâmetros!$B$14:$B$17,MATCH(C859,02_Parâmetros!$A$14:$A$17,0)),"")</f>
        <v>1</v>
      </c>
      <c r="N859" s="2" t="str">
        <f aca="false">IF(OR(H859="",M859=""),"",IF(H859&lt;=M859,"Sim","Não"))</f>
        <v>Sim</v>
      </c>
    </row>
    <row r="860" customFormat="false" ht="15" hidden="false" customHeight="false" outlineLevel="0" collapsed="false">
      <c r="A860" s="2" t="s">
        <v>897</v>
      </c>
      <c r="B860" s="3" t="n">
        <v>46309</v>
      </c>
      <c r="C860" s="2" t="s">
        <v>15</v>
      </c>
      <c r="D860" s="2" t="s">
        <v>22</v>
      </c>
      <c r="E860" s="2" t="s">
        <v>28</v>
      </c>
      <c r="F860" s="2" t="s">
        <v>70</v>
      </c>
      <c r="G860" s="2" t="s">
        <v>19</v>
      </c>
      <c r="H860" s="2" t="n">
        <v>0.7</v>
      </c>
      <c r="I860" s="2" t="n">
        <v>10</v>
      </c>
      <c r="J860" s="2" t="s">
        <v>20</v>
      </c>
      <c r="K860" s="2"/>
      <c r="L860" s="3" t="n">
        <f aca="false">B860-WEEKDAY(B860,2)+1</f>
        <v>46307</v>
      </c>
      <c r="M860" s="4" t="n">
        <f aca="false">IFERROR(INDEX(02_Parâmetros!$B$14:$B$17,MATCH(C860,02_Parâmetros!$A$14:$A$17,0)),"")</f>
        <v>1</v>
      </c>
      <c r="N860" s="2" t="str">
        <f aca="false">IF(OR(H860="",M860=""),"",IF(H860&lt;=M860,"Sim","Não"))</f>
        <v>Sim</v>
      </c>
    </row>
    <row r="861" customFormat="false" ht="15" hidden="false" customHeight="false" outlineLevel="0" collapsed="false">
      <c r="A861" s="2" t="s">
        <v>898</v>
      </c>
      <c r="B861" s="3" t="n">
        <v>46309</v>
      </c>
      <c r="C861" s="2" t="s">
        <v>41</v>
      </c>
      <c r="D861" s="2" t="s">
        <v>38</v>
      </c>
      <c r="E861" s="2" t="s">
        <v>56</v>
      </c>
      <c r="F861" s="2" t="s">
        <v>18</v>
      </c>
      <c r="G861" s="2" t="s">
        <v>19</v>
      </c>
      <c r="H861" s="2" t="n">
        <v>102.2</v>
      </c>
      <c r="I861" s="2" t="n">
        <v>14.6</v>
      </c>
      <c r="J861" s="2" t="s">
        <v>20</v>
      </c>
      <c r="K861" s="2" t="n">
        <v>5</v>
      </c>
      <c r="L861" s="3" t="n">
        <f aca="false">B861-WEEKDAY(B861,2)+1</f>
        <v>46307</v>
      </c>
      <c r="M861" s="4" t="n">
        <f aca="false">IFERROR(INDEX(02_Parâmetros!$B$14:$B$17,MATCH(C861,02_Parâmetros!$A$14:$A$17,0)),"")</f>
        <v>240</v>
      </c>
      <c r="N861" s="2" t="str">
        <f aca="false">IF(OR(H861="",M861=""),"",IF(H861&lt;=M861,"Sim","Não"))</f>
        <v>Sim</v>
      </c>
    </row>
    <row r="862" customFormat="false" ht="15" hidden="false" customHeight="false" outlineLevel="0" collapsed="false">
      <c r="A862" s="2" t="s">
        <v>899</v>
      </c>
      <c r="B862" s="3" t="n">
        <v>46309</v>
      </c>
      <c r="C862" s="2" t="s">
        <v>27</v>
      </c>
      <c r="D862" s="2" t="s">
        <v>38</v>
      </c>
      <c r="E862" s="2" t="s">
        <v>56</v>
      </c>
      <c r="F862" s="2" t="s">
        <v>32</v>
      </c>
      <c r="G862" s="2" t="s">
        <v>19</v>
      </c>
      <c r="H862" s="2" t="n">
        <v>6.5</v>
      </c>
      <c r="I862" s="2" t="n">
        <v>4.1</v>
      </c>
      <c r="J862" s="2" t="s">
        <v>20</v>
      </c>
      <c r="K862" s="2" t="n">
        <v>4</v>
      </c>
      <c r="L862" s="3" t="n">
        <f aca="false">B862-WEEKDAY(B862,2)+1</f>
        <v>46307</v>
      </c>
      <c r="M862" s="4" t="n">
        <f aca="false">IFERROR(INDEX(02_Parâmetros!$B$14:$B$17,MATCH(C862,02_Parâmetros!$A$14:$A$17,0)),"")</f>
        <v>10</v>
      </c>
      <c r="N862" s="2" t="str">
        <f aca="false">IF(OR(H862="",M862=""),"",IF(H862&lt;=M862,"Sim","Não"))</f>
        <v>Sim</v>
      </c>
    </row>
    <row r="863" customFormat="false" ht="15" hidden="false" customHeight="false" outlineLevel="0" collapsed="false">
      <c r="A863" s="2" t="s">
        <v>900</v>
      </c>
      <c r="B863" s="3" t="n">
        <v>46309</v>
      </c>
      <c r="C863" s="2" t="s">
        <v>41</v>
      </c>
      <c r="D863" s="2" t="s">
        <v>16</v>
      </c>
      <c r="E863" s="2" t="s">
        <v>36</v>
      </c>
      <c r="F863" s="2" t="s">
        <v>18</v>
      </c>
      <c r="G863" s="2" t="s">
        <v>19</v>
      </c>
      <c r="H863" s="2" t="n">
        <v>160.5</v>
      </c>
      <c r="I863" s="2" t="n">
        <v>18.7</v>
      </c>
      <c r="J863" s="2" t="s">
        <v>25</v>
      </c>
      <c r="K863" s="2"/>
      <c r="L863" s="3" t="n">
        <f aca="false">B863-WEEKDAY(B863,2)+1</f>
        <v>46307</v>
      </c>
      <c r="M863" s="4" t="n">
        <f aca="false">IFERROR(INDEX(02_Parâmetros!$B$14:$B$17,MATCH(C863,02_Parâmetros!$A$14:$A$17,0)),"")</f>
        <v>240</v>
      </c>
      <c r="N863" s="2" t="str">
        <f aca="false">IF(OR(H863="",M863=""),"",IF(H863&lt;=M863,"Sim","Não"))</f>
        <v>Sim</v>
      </c>
    </row>
    <row r="864" customFormat="false" ht="15" hidden="false" customHeight="false" outlineLevel="0" collapsed="false">
      <c r="A864" s="2" t="s">
        <v>901</v>
      </c>
      <c r="B864" s="3" t="n">
        <v>46309</v>
      </c>
      <c r="C864" s="2" t="s">
        <v>15</v>
      </c>
      <c r="D864" s="2" t="s">
        <v>22</v>
      </c>
      <c r="E864" s="2" t="s">
        <v>23</v>
      </c>
      <c r="F864" s="2" t="s">
        <v>18</v>
      </c>
      <c r="G864" s="2" t="s">
        <v>19</v>
      </c>
      <c r="H864" s="2" t="n">
        <v>2.9</v>
      </c>
      <c r="I864" s="2" t="n">
        <v>10.1</v>
      </c>
      <c r="J864" s="2" t="s">
        <v>20</v>
      </c>
      <c r="K864" s="2"/>
      <c r="L864" s="3" t="n">
        <f aca="false">B864-WEEKDAY(B864,2)+1</f>
        <v>46307</v>
      </c>
      <c r="M864" s="4" t="n">
        <f aca="false">IFERROR(INDEX(02_Parâmetros!$B$14:$B$17,MATCH(C864,02_Parâmetros!$A$14:$A$17,0)),"")</f>
        <v>1</v>
      </c>
      <c r="N864" s="2" t="str">
        <f aca="false">IF(OR(H864="",M864=""),"",IF(H864&lt;=M864,"Sim","Não"))</f>
        <v>Não</v>
      </c>
    </row>
    <row r="865" customFormat="false" ht="15" hidden="false" customHeight="false" outlineLevel="0" collapsed="false">
      <c r="A865" s="2" t="s">
        <v>902</v>
      </c>
      <c r="B865" s="3" t="n">
        <v>46309</v>
      </c>
      <c r="C865" s="2" t="s">
        <v>15</v>
      </c>
      <c r="D865" s="2" t="s">
        <v>16</v>
      </c>
      <c r="E865" s="2" t="s">
        <v>31</v>
      </c>
      <c r="F865" s="2" t="s">
        <v>18</v>
      </c>
      <c r="G865" s="2" t="s">
        <v>19</v>
      </c>
      <c r="H865" s="2" t="n">
        <v>0.7</v>
      </c>
      <c r="I865" s="2" t="n">
        <v>19.7</v>
      </c>
      <c r="J865" s="2" t="s">
        <v>20</v>
      </c>
      <c r="K865" s="2"/>
      <c r="L865" s="3" t="n">
        <f aca="false">B865-WEEKDAY(B865,2)+1</f>
        <v>46307</v>
      </c>
      <c r="M865" s="4" t="n">
        <f aca="false">IFERROR(INDEX(02_Parâmetros!$B$14:$B$17,MATCH(C865,02_Parâmetros!$A$14:$A$17,0)),"")</f>
        <v>1</v>
      </c>
      <c r="N865" s="2" t="str">
        <f aca="false">IF(OR(H865="",M865=""),"",IF(H865&lt;=M865,"Sim","Não"))</f>
        <v>Sim</v>
      </c>
    </row>
    <row r="866" customFormat="false" ht="15" hidden="false" customHeight="false" outlineLevel="0" collapsed="false">
      <c r="A866" s="2" t="s">
        <v>903</v>
      </c>
      <c r="B866" s="3" t="n">
        <v>46309</v>
      </c>
      <c r="C866" s="2" t="s">
        <v>15</v>
      </c>
      <c r="D866" s="2" t="s">
        <v>16</v>
      </c>
      <c r="E866" s="2" t="s">
        <v>31</v>
      </c>
      <c r="F866" s="2" t="s">
        <v>18</v>
      </c>
      <c r="G866" s="2" t="s">
        <v>19</v>
      </c>
      <c r="H866" s="2" t="n">
        <v>0.6</v>
      </c>
      <c r="I866" s="2" t="n">
        <v>16.5</v>
      </c>
      <c r="J866" s="2" t="s">
        <v>25</v>
      </c>
      <c r="K866" s="2"/>
      <c r="L866" s="3" t="n">
        <f aca="false">B866-WEEKDAY(B866,2)+1</f>
        <v>46307</v>
      </c>
      <c r="M866" s="4" t="n">
        <f aca="false">IFERROR(INDEX(02_Parâmetros!$B$14:$B$17,MATCH(C866,02_Parâmetros!$A$14:$A$17,0)),"")</f>
        <v>1</v>
      </c>
      <c r="N866" s="2" t="str">
        <f aca="false">IF(OR(H866="",M866=""),"",IF(H866&lt;=M866,"Sim","Não"))</f>
        <v>Sim</v>
      </c>
    </row>
    <row r="867" customFormat="false" ht="15" hidden="false" customHeight="false" outlineLevel="0" collapsed="false">
      <c r="A867" s="2" t="s">
        <v>904</v>
      </c>
      <c r="B867" s="3" t="n">
        <v>46309</v>
      </c>
      <c r="C867" s="2" t="s">
        <v>41</v>
      </c>
      <c r="D867" s="2" t="s">
        <v>22</v>
      </c>
      <c r="E867" s="2" t="s">
        <v>23</v>
      </c>
      <c r="F867" s="2" t="s">
        <v>34</v>
      </c>
      <c r="G867" s="2" t="s">
        <v>19</v>
      </c>
      <c r="H867" s="2" t="n">
        <v>141.8</v>
      </c>
      <c r="I867" s="2" t="n">
        <v>10.8</v>
      </c>
      <c r="J867" s="2" t="s">
        <v>20</v>
      </c>
      <c r="K867" s="2"/>
      <c r="L867" s="3" t="n">
        <f aca="false">B867-WEEKDAY(B867,2)+1</f>
        <v>46307</v>
      </c>
      <c r="M867" s="4" t="n">
        <f aca="false">IFERROR(INDEX(02_Parâmetros!$B$14:$B$17,MATCH(C867,02_Parâmetros!$A$14:$A$17,0)),"")</f>
        <v>240</v>
      </c>
      <c r="N867" s="2" t="str">
        <f aca="false">IF(OR(H867="",M867=""),"",IF(H867&lt;=M867,"Sim","Não"))</f>
        <v>Sim</v>
      </c>
    </row>
    <row r="868" customFormat="false" ht="15" hidden="false" customHeight="false" outlineLevel="0" collapsed="false">
      <c r="A868" s="2" t="s">
        <v>905</v>
      </c>
      <c r="B868" s="3" t="n">
        <v>46309</v>
      </c>
      <c r="C868" s="2" t="s">
        <v>27</v>
      </c>
      <c r="D868" s="2" t="s">
        <v>16</v>
      </c>
      <c r="E868" s="2" t="s">
        <v>17</v>
      </c>
      <c r="F868" s="2" t="s">
        <v>34</v>
      </c>
      <c r="G868" s="2" t="s">
        <v>19</v>
      </c>
      <c r="H868" s="2" t="n">
        <v>4.1</v>
      </c>
      <c r="I868" s="2" t="n">
        <v>6.8</v>
      </c>
      <c r="J868" s="2" t="s">
        <v>20</v>
      </c>
      <c r="K868" s="2"/>
      <c r="L868" s="3" t="n">
        <f aca="false">B868-WEEKDAY(B868,2)+1</f>
        <v>46307</v>
      </c>
      <c r="M868" s="4" t="n">
        <f aca="false">IFERROR(INDEX(02_Parâmetros!$B$14:$B$17,MATCH(C868,02_Parâmetros!$A$14:$A$17,0)),"")</f>
        <v>10</v>
      </c>
      <c r="N868" s="2" t="str">
        <f aca="false">IF(OR(H868="",M868=""),"",IF(H868&lt;=M868,"Sim","Não"))</f>
        <v>Sim</v>
      </c>
    </row>
    <row r="869" customFormat="false" ht="15" hidden="false" customHeight="false" outlineLevel="0" collapsed="false">
      <c r="A869" s="2" t="s">
        <v>906</v>
      </c>
      <c r="B869" s="3" t="n">
        <v>46309</v>
      </c>
      <c r="C869" s="2" t="s">
        <v>27</v>
      </c>
      <c r="D869" s="2" t="s">
        <v>38</v>
      </c>
      <c r="E869" s="2" t="s">
        <v>47</v>
      </c>
      <c r="F869" s="2" t="s">
        <v>32</v>
      </c>
      <c r="G869" s="2" t="s">
        <v>19</v>
      </c>
      <c r="H869" s="2" t="n">
        <v>9.6</v>
      </c>
      <c r="I869" s="2" t="n">
        <v>5.1</v>
      </c>
      <c r="J869" s="2" t="s">
        <v>20</v>
      </c>
      <c r="K869" s="2"/>
      <c r="L869" s="3" t="n">
        <f aca="false">B869-WEEKDAY(B869,2)+1</f>
        <v>46307</v>
      </c>
      <c r="M869" s="4" t="n">
        <f aca="false">IFERROR(INDEX(02_Parâmetros!$B$14:$B$17,MATCH(C869,02_Parâmetros!$A$14:$A$17,0)),"")</f>
        <v>10</v>
      </c>
      <c r="N869" s="2" t="str">
        <f aca="false">IF(OR(H869="",M869=""),"",IF(H869&lt;=M869,"Sim","Não"))</f>
        <v>Sim</v>
      </c>
    </row>
    <row r="870" customFormat="false" ht="15" hidden="false" customHeight="false" outlineLevel="0" collapsed="false">
      <c r="A870" s="2" t="s">
        <v>907</v>
      </c>
      <c r="B870" s="3" t="n">
        <v>46309</v>
      </c>
      <c r="C870" s="2" t="s">
        <v>44</v>
      </c>
      <c r="D870" s="2" t="s">
        <v>38</v>
      </c>
      <c r="E870" s="2" t="s">
        <v>47</v>
      </c>
      <c r="F870" s="2" t="s">
        <v>32</v>
      </c>
      <c r="G870" s="2" t="s">
        <v>19</v>
      </c>
      <c r="H870" s="2" t="n">
        <v>1.6</v>
      </c>
      <c r="I870" s="2" t="n">
        <v>6.5</v>
      </c>
      <c r="J870" s="2" t="s">
        <v>20</v>
      </c>
      <c r="K870" s="2"/>
      <c r="L870" s="3" t="n">
        <f aca="false">B870-WEEKDAY(B870,2)+1</f>
        <v>46307</v>
      </c>
      <c r="M870" s="4" t="n">
        <f aca="false">IFERROR(INDEX(02_Parâmetros!$B$14:$B$17,MATCH(C870,02_Parâmetros!$A$14:$A$17,0)),"")</f>
        <v>2</v>
      </c>
      <c r="N870" s="2" t="str">
        <f aca="false">IF(OR(H870="",M870=""),"",IF(H870&lt;=M870,"Sim","Não"))</f>
        <v>Sim</v>
      </c>
    </row>
    <row r="871" customFormat="false" ht="15" hidden="false" customHeight="false" outlineLevel="0" collapsed="false">
      <c r="A871" s="2" t="s">
        <v>908</v>
      </c>
      <c r="B871" s="3" t="n">
        <v>46309</v>
      </c>
      <c r="C871" s="2" t="s">
        <v>41</v>
      </c>
      <c r="D871" s="2" t="s">
        <v>38</v>
      </c>
      <c r="E871" s="2" t="s">
        <v>47</v>
      </c>
      <c r="F871" s="2" t="s">
        <v>34</v>
      </c>
      <c r="G871" s="2" t="s">
        <v>78</v>
      </c>
      <c r="H871" s="2" t="n">
        <v>453.8</v>
      </c>
      <c r="I871" s="2" t="n">
        <v>8.9</v>
      </c>
      <c r="J871" s="2"/>
      <c r="K871" s="2"/>
      <c r="L871" s="3" t="n">
        <f aca="false">B871-WEEKDAY(B871,2)+1</f>
        <v>46307</v>
      </c>
      <c r="M871" s="4" t="n">
        <f aca="false">IFERROR(INDEX(02_Parâmetros!$B$14:$B$17,MATCH(C871,02_Parâmetros!$A$14:$A$17,0)),"")</f>
        <v>240</v>
      </c>
      <c r="N871" s="2" t="str">
        <f aca="false">IF(OR(H871="",M871=""),"",IF(H871&lt;=M871,"Sim","Não"))</f>
        <v>Não</v>
      </c>
    </row>
    <row r="872" customFormat="false" ht="15" hidden="false" customHeight="false" outlineLevel="0" collapsed="false">
      <c r="A872" s="2" t="s">
        <v>909</v>
      </c>
      <c r="B872" s="3" t="n">
        <v>46309</v>
      </c>
      <c r="C872" s="2" t="s">
        <v>27</v>
      </c>
      <c r="D872" s="2" t="s">
        <v>38</v>
      </c>
      <c r="E872" s="2" t="s">
        <v>47</v>
      </c>
      <c r="F872" s="2" t="s">
        <v>24</v>
      </c>
      <c r="G872" s="2" t="s">
        <v>19</v>
      </c>
      <c r="H872" s="2" t="n">
        <v>3.4</v>
      </c>
      <c r="I872" s="2" t="n">
        <v>9.4</v>
      </c>
      <c r="J872" s="2" t="s">
        <v>25</v>
      </c>
      <c r="K872" s="2" t="n">
        <v>4</v>
      </c>
      <c r="L872" s="3" t="n">
        <f aca="false">B872-WEEKDAY(B872,2)+1</f>
        <v>46307</v>
      </c>
      <c r="M872" s="4" t="n">
        <f aca="false">IFERROR(INDEX(02_Parâmetros!$B$14:$B$17,MATCH(C872,02_Parâmetros!$A$14:$A$17,0)),"")</f>
        <v>10</v>
      </c>
      <c r="N872" s="2" t="str">
        <f aca="false">IF(OR(H872="",M872=""),"",IF(H872&lt;=M872,"Sim","Não"))</f>
        <v>Sim</v>
      </c>
    </row>
    <row r="873" customFormat="false" ht="15" hidden="false" customHeight="false" outlineLevel="0" collapsed="false">
      <c r="A873" s="2" t="s">
        <v>910</v>
      </c>
      <c r="B873" s="3" t="n">
        <v>46309</v>
      </c>
      <c r="C873" s="2" t="s">
        <v>44</v>
      </c>
      <c r="D873" s="2" t="s">
        <v>22</v>
      </c>
      <c r="E873" s="2" t="s">
        <v>23</v>
      </c>
      <c r="F873" s="2" t="s">
        <v>18</v>
      </c>
      <c r="G873" s="2" t="s">
        <v>19</v>
      </c>
      <c r="H873" s="2" t="n">
        <v>0.5</v>
      </c>
      <c r="I873" s="2" t="n">
        <v>10</v>
      </c>
      <c r="J873" s="2" t="s">
        <v>20</v>
      </c>
      <c r="K873" s="2"/>
      <c r="L873" s="3" t="n">
        <f aca="false">B873-WEEKDAY(B873,2)+1</f>
        <v>46307</v>
      </c>
      <c r="M873" s="4" t="n">
        <f aca="false">IFERROR(INDEX(02_Parâmetros!$B$14:$B$17,MATCH(C873,02_Parâmetros!$A$14:$A$17,0)),"")</f>
        <v>2</v>
      </c>
      <c r="N873" s="2" t="str">
        <f aca="false">IF(OR(H873="",M873=""),"",IF(H873&lt;=M873,"Sim","Não"))</f>
        <v>Sim</v>
      </c>
    </row>
    <row r="874" customFormat="false" ht="15" hidden="false" customHeight="false" outlineLevel="0" collapsed="false">
      <c r="A874" s="2" t="s">
        <v>911</v>
      </c>
      <c r="B874" s="3" t="n">
        <v>46309</v>
      </c>
      <c r="C874" s="2" t="s">
        <v>44</v>
      </c>
      <c r="D874" s="2" t="s">
        <v>38</v>
      </c>
      <c r="E874" s="2" t="s">
        <v>47</v>
      </c>
      <c r="F874" s="2" t="s">
        <v>32</v>
      </c>
      <c r="G874" s="2" t="s">
        <v>19</v>
      </c>
      <c r="H874" s="2" t="n">
        <v>1.3</v>
      </c>
      <c r="I874" s="2" t="n">
        <v>8.8</v>
      </c>
      <c r="J874" s="2" t="s">
        <v>20</v>
      </c>
      <c r="K874" s="2"/>
      <c r="L874" s="3" t="n">
        <f aca="false">B874-WEEKDAY(B874,2)+1</f>
        <v>46307</v>
      </c>
      <c r="M874" s="4" t="n">
        <f aca="false">IFERROR(INDEX(02_Parâmetros!$B$14:$B$17,MATCH(C874,02_Parâmetros!$A$14:$A$17,0)),"")</f>
        <v>2</v>
      </c>
      <c r="N874" s="2" t="str">
        <f aca="false">IF(OR(H874="",M874=""),"",IF(H874&lt;=M874,"Sim","Não"))</f>
        <v>Sim</v>
      </c>
    </row>
    <row r="875" customFormat="false" ht="15" hidden="false" customHeight="false" outlineLevel="0" collapsed="false">
      <c r="A875" s="2" t="s">
        <v>912</v>
      </c>
      <c r="B875" s="3" t="n">
        <v>46309</v>
      </c>
      <c r="C875" s="2" t="s">
        <v>27</v>
      </c>
      <c r="D875" s="2" t="s">
        <v>38</v>
      </c>
      <c r="E875" s="2" t="s">
        <v>47</v>
      </c>
      <c r="F875" s="2" t="s">
        <v>42</v>
      </c>
      <c r="G875" s="2" t="s">
        <v>19</v>
      </c>
      <c r="H875" s="2" t="n">
        <v>6.8</v>
      </c>
      <c r="I875" s="2" t="n">
        <v>6.5</v>
      </c>
      <c r="J875" s="2" t="s">
        <v>20</v>
      </c>
      <c r="K875" s="2"/>
      <c r="L875" s="3" t="n">
        <f aca="false">B875-WEEKDAY(B875,2)+1</f>
        <v>46307</v>
      </c>
      <c r="M875" s="4" t="n">
        <f aca="false">IFERROR(INDEX(02_Parâmetros!$B$14:$B$17,MATCH(C875,02_Parâmetros!$A$14:$A$17,0)),"")</f>
        <v>10</v>
      </c>
      <c r="N875" s="2" t="str">
        <f aca="false">IF(OR(H875="",M875=""),"",IF(H875&lt;=M875,"Sim","Não"))</f>
        <v>Sim</v>
      </c>
    </row>
    <row r="876" customFormat="false" ht="15" hidden="false" customHeight="false" outlineLevel="0" collapsed="false">
      <c r="A876" s="2" t="s">
        <v>913</v>
      </c>
      <c r="B876" s="3" t="n">
        <v>46309</v>
      </c>
      <c r="C876" s="2" t="s">
        <v>41</v>
      </c>
      <c r="D876" s="2" t="s">
        <v>16</v>
      </c>
      <c r="E876" s="2" t="s">
        <v>17</v>
      </c>
      <c r="F876" s="2" t="s">
        <v>32</v>
      </c>
      <c r="G876" s="2" t="s">
        <v>19</v>
      </c>
      <c r="H876" s="2" t="n">
        <v>73.5</v>
      </c>
      <c r="I876" s="2" t="n">
        <v>7.1</v>
      </c>
      <c r="J876" s="2" t="s">
        <v>20</v>
      </c>
      <c r="K876" s="2" t="n">
        <v>4</v>
      </c>
      <c r="L876" s="3" t="n">
        <f aca="false">B876-WEEKDAY(B876,2)+1</f>
        <v>46307</v>
      </c>
      <c r="M876" s="4" t="n">
        <f aca="false">IFERROR(INDEX(02_Parâmetros!$B$14:$B$17,MATCH(C876,02_Parâmetros!$A$14:$A$17,0)),"")</f>
        <v>240</v>
      </c>
      <c r="N876" s="2" t="str">
        <f aca="false">IF(OR(H876="",M876=""),"",IF(H876&lt;=M876,"Sim","Não"))</f>
        <v>Sim</v>
      </c>
    </row>
    <row r="877" customFormat="false" ht="15" hidden="false" customHeight="false" outlineLevel="0" collapsed="false">
      <c r="A877" s="2" t="s">
        <v>914</v>
      </c>
      <c r="B877" s="3" t="n">
        <v>46309</v>
      </c>
      <c r="C877" s="2" t="s">
        <v>27</v>
      </c>
      <c r="D877" s="2" t="s">
        <v>38</v>
      </c>
      <c r="E877" s="2" t="s">
        <v>39</v>
      </c>
      <c r="F877" s="2" t="s">
        <v>24</v>
      </c>
      <c r="G877" s="2" t="s">
        <v>78</v>
      </c>
      <c r="H877" s="2" t="n">
        <v>8.8</v>
      </c>
      <c r="I877" s="2" t="n">
        <v>8.7</v>
      </c>
      <c r="J877" s="2"/>
      <c r="K877" s="2"/>
      <c r="L877" s="3" t="n">
        <f aca="false">B877-WEEKDAY(B877,2)+1</f>
        <v>46307</v>
      </c>
      <c r="M877" s="4" t="n">
        <f aca="false">IFERROR(INDEX(02_Parâmetros!$B$14:$B$17,MATCH(C877,02_Parâmetros!$A$14:$A$17,0)),"")</f>
        <v>10</v>
      </c>
      <c r="N877" s="2" t="str">
        <f aca="false">IF(OR(H877="",M877=""),"",IF(H877&lt;=M877,"Sim","Não"))</f>
        <v>Sim</v>
      </c>
    </row>
    <row r="878" customFormat="false" ht="15" hidden="false" customHeight="false" outlineLevel="0" collapsed="false">
      <c r="A878" s="2" t="s">
        <v>915</v>
      </c>
      <c r="B878" s="3" t="n">
        <v>46309</v>
      </c>
      <c r="C878" s="2" t="s">
        <v>44</v>
      </c>
      <c r="D878" s="2" t="s">
        <v>38</v>
      </c>
      <c r="E878" s="2" t="s">
        <v>47</v>
      </c>
      <c r="F878" s="2" t="s">
        <v>42</v>
      </c>
      <c r="G878" s="2" t="s">
        <v>19</v>
      </c>
      <c r="H878" s="2" t="n">
        <v>0.9</v>
      </c>
      <c r="I878" s="2" t="n">
        <v>12.5</v>
      </c>
      <c r="J878" s="2" t="s">
        <v>20</v>
      </c>
      <c r="K878" s="2"/>
      <c r="L878" s="3" t="n">
        <f aca="false">B878-WEEKDAY(B878,2)+1</f>
        <v>46307</v>
      </c>
      <c r="M878" s="4" t="n">
        <f aca="false">IFERROR(INDEX(02_Parâmetros!$B$14:$B$17,MATCH(C878,02_Parâmetros!$A$14:$A$17,0)),"")</f>
        <v>2</v>
      </c>
      <c r="N878" s="2" t="str">
        <f aca="false">IF(OR(H878="",M878=""),"",IF(H878&lt;=M878,"Sim","Não"))</f>
        <v>Sim</v>
      </c>
    </row>
    <row r="879" customFormat="false" ht="15" hidden="false" customHeight="false" outlineLevel="0" collapsed="false">
      <c r="A879" s="2" t="s">
        <v>916</v>
      </c>
      <c r="B879" s="3" t="n">
        <v>46309</v>
      </c>
      <c r="C879" s="2" t="s">
        <v>44</v>
      </c>
      <c r="D879" s="2" t="s">
        <v>22</v>
      </c>
      <c r="E879" s="2" t="s">
        <v>28</v>
      </c>
      <c r="F879" s="2" t="s">
        <v>18</v>
      </c>
      <c r="G879" s="2" t="s">
        <v>78</v>
      </c>
      <c r="H879" s="2" t="n">
        <v>1.3</v>
      </c>
      <c r="I879" s="2" t="n">
        <v>11.7</v>
      </c>
      <c r="J879" s="2"/>
      <c r="K879" s="2" t="n">
        <v>5</v>
      </c>
      <c r="L879" s="3" t="n">
        <f aca="false">B879-WEEKDAY(B879,2)+1</f>
        <v>46307</v>
      </c>
      <c r="M879" s="4" t="n">
        <f aca="false">IFERROR(INDEX(02_Parâmetros!$B$14:$B$17,MATCH(C879,02_Parâmetros!$A$14:$A$17,0)),"")</f>
        <v>2</v>
      </c>
      <c r="N879" s="2" t="str">
        <f aca="false">IF(OR(H879="",M879=""),"",IF(H879&lt;=M879,"Sim","Não"))</f>
        <v>Sim</v>
      </c>
    </row>
    <row r="880" customFormat="false" ht="15" hidden="false" customHeight="false" outlineLevel="0" collapsed="false">
      <c r="A880" s="2" t="s">
        <v>917</v>
      </c>
      <c r="B880" s="3" t="n">
        <v>46309</v>
      </c>
      <c r="C880" s="2" t="s">
        <v>44</v>
      </c>
      <c r="D880" s="2" t="s">
        <v>38</v>
      </c>
      <c r="E880" s="2" t="s">
        <v>47</v>
      </c>
      <c r="F880" s="2" t="s">
        <v>24</v>
      </c>
      <c r="G880" s="2" t="s">
        <v>19</v>
      </c>
      <c r="H880" s="2" t="n">
        <v>1.4</v>
      </c>
      <c r="I880" s="2" t="n">
        <v>8.7</v>
      </c>
      <c r="J880" s="2" t="s">
        <v>20</v>
      </c>
      <c r="K880" s="2" t="n">
        <v>3</v>
      </c>
      <c r="L880" s="3" t="n">
        <f aca="false">B880-WEEKDAY(B880,2)+1</f>
        <v>46307</v>
      </c>
      <c r="M880" s="4" t="n">
        <f aca="false">IFERROR(INDEX(02_Parâmetros!$B$14:$B$17,MATCH(C880,02_Parâmetros!$A$14:$A$17,0)),"")</f>
        <v>2</v>
      </c>
      <c r="N880" s="2" t="str">
        <f aca="false">IF(OR(H880="",M880=""),"",IF(H880&lt;=M880,"Sim","Não"))</f>
        <v>Sim</v>
      </c>
    </row>
    <row r="881" customFormat="false" ht="15" hidden="false" customHeight="false" outlineLevel="0" collapsed="false">
      <c r="A881" s="2" t="s">
        <v>918</v>
      </c>
      <c r="B881" s="3" t="n">
        <v>46309</v>
      </c>
      <c r="C881" s="2" t="s">
        <v>44</v>
      </c>
      <c r="D881" s="2" t="s">
        <v>38</v>
      </c>
      <c r="E881" s="2" t="s">
        <v>56</v>
      </c>
      <c r="F881" s="2" t="s">
        <v>70</v>
      </c>
      <c r="G881" s="2" t="s">
        <v>19</v>
      </c>
      <c r="H881" s="2"/>
      <c r="I881" s="2" t="n">
        <v>10.4</v>
      </c>
      <c r="J881" s="2" t="s">
        <v>20</v>
      </c>
      <c r="K881" s="2" t="n">
        <v>5</v>
      </c>
      <c r="L881" s="3" t="n">
        <f aca="false">B881-WEEKDAY(B881,2)+1</f>
        <v>46307</v>
      </c>
      <c r="M881" s="4" t="n">
        <f aca="false">IFERROR(INDEX(02_Parâmetros!$B$14:$B$17,MATCH(C881,02_Parâmetros!$A$14:$A$17,0)),"")</f>
        <v>2</v>
      </c>
      <c r="N881" s="2" t="str">
        <f aca="false">IF(OR(H881="",M881=""),"",IF(H881&lt;=M881,"Sim","Não"))</f>
        <v/>
      </c>
    </row>
    <row r="882" customFormat="false" ht="15" hidden="false" customHeight="false" outlineLevel="0" collapsed="false">
      <c r="A882" s="2" t="s">
        <v>919</v>
      </c>
      <c r="B882" s="3" t="n">
        <v>46309</v>
      </c>
      <c r="C882" s="2" t="s">
        <v>27</v>
      </c>
      <c r="D882" s="2" t="s">
        <v>16</v>
      </c>
      <c r="E882" s="2" t="s">
        <v>31</v>
      </c>
      <c r="F882" s="2" t="s">
        <v>18</v>
      </c>
      <c r="G882" s="2" t="s">
        <v>19</v>
      </c>
      <c r="H882" s="2" t="n">
        <v>3.7</v>
      </c>
      <c r="I882" s="2" t="n">
        <v>12.5</v>
      </c>
      <c r="J882" s="2" t="s">
        <v>25</v>
      </c>
      <c r="K882" s="2"/>
      <c r="L882" s="3" t="n">
        <f aca="false">B882-WEEKDAY(B882,2)+1</f>
        <v>46307</v>
      </c>
      <c r="M882" s="4" t="n">
        <f aca="false">IFERROR(INDEX(02_Parâmetros!$B$14:$B$17,MATCH(C882,02_Parâmetros!$A$14:$A$17,0)),"")</f>
        <v>10</v>
      </c>
      <c r="N882" s="2" t="str">
        <f aca="false">IF(OR(H882="",M882=""),"",IF(H882&lt;=M882,"Sim","Não"))</f>
        <v>Sim</v>
      </c>
    </row>
    <row r="883" customFormat="false" ht="15" hidden="false" customHeight="false" outlineLevel="0" collapsed="false">
      <c r="A883" s="2" t="s">
        <v>920</v>
      </c>
      <c r="B883" s="3" t="n">
        <v>46309</v>
      </c>
      <c r="C883" s="2" t="s">
        <v>44</v>
      </c>
      <c r="D883" s="2" t="s">
        <v>38</v>
      </c>
      <c r="E883" s="2" t="s">
        <v>47</v>
      </c>
      <c r="F883" s="2" t="s">
        <v>18</v>
      </c>
      <c r="G883" s="2" t="s">
        <v>19</v>
      </c>
      <c r="H883" s="2" t="n">
        <v>1</v>
      </c>
      <c r="I883" s="2" t="n">
        <v>7.3</v>
      </c>
      <c r="J883" s="2" t="s">
        <v>25</v>
      </c>
      <c r="K883" s="2" t="n">
        <v>1</v>
      </c>
      <c r="L883" s="3" t="n">
        <f aca="false">B883-WEEKDAY(B883,2)+1</f>
        <v>46307</v>
      </c>
      <c r="M883" s="4" t="n">
        <f aca="false">IFERROR(INDEX(02_Parâmetros!$B$14:$B$17,MATCH(C883,02_Parâmetros!$A$14:$A$17,0)),"")</f>
        <v>2</v>
      </c>
      <c r="N883" s="2" t="str">
        <f aca="false">IF(OR(H883="",M883=""),"",IF(H883&lt;=M883,"Sim","Não"))</f>
        <v>Sim</v>
      </c>
    </row>
    <row r="884" customFormat="false" ht="15" hidden="false" customHeight="false" outlineLevel="0" collapsed="false">
      <c r="A884" s="2" t="s">
        <v>921</v>
      </c>
      <c r="B884" s="3" t="n">
        <v>46309</v>
      </c>
      <c r="C884" s="2" t="s">
        <v>41</v>
      </c>
      <c r="D884" s="2" t="s">
        <v>22</v>
      </c>
      <c r="E884" s="2" t="s">
        <v>28</v>
      </c>
      <c r="F884" s="2" t="s">
        <v>24</v>
      </c>
      <c r="G884" s="2" t="s">
        <v>19</v>
      </c>
      <c r="H884" s="2" t="n">
        <v>705.1</v>
      </c>
      <c r="I884" s="2" t="n">
        <v>8</v>
      </c>
      <c r="J884" s="2" t="s">
        <v>20</v>
      </c>
      <c r="K884" s="2" t="n">
        <v>4</v>
      </c>
      <c r="L884" s="3" t="n">
        <f aca="false">B884-WEEKDAY(B884,2)+1</f>
        <v>46307</v>
      </c>
      <c r="M884" s="4" t="n">
        <f aca="false">IFERROR(INDEX(02_Parâmetros!$B$14:$B$17,MATCH(C884,02_Parâmetros!$A$14:$A$17,0)),"")</f>
        <v>240</v>
      </c>
      <c r="N884" s="2" t="str">
        <f aca="false">IF(OR(H884="",M884=""),"",IF(H884&lt;=M884,"Sim","Não"))</f>
        <v>Não</v>
      </c>
    </row>
    <row r="885" customFormat="false" ht="15" hidden="false" customHeight="false" outlineLevel="0" collapsed="false">
      <c r="A885" s="2" t="s">
        <v>922</v>
      </c>
      <c r="B885" s="3" t="n">
        <v>46309</v>
      </c>
      <c r="C885" s="2" t="s">
        <v>41</v>
      </c>
      <c r="D885" s="2" t="s">
        <v>16</v>
      </c>
      <c r="E885" s="2" t="s">
        <v>31</v>
      </c>
      <c r="F885" s="2" t="s">
        <v>34</v>
      </c>
      <c r="G885" s="2" t="s">
        <v>19</v>
      </c>
      <c r="H885" s="2" t="n">
        <v>397.7</v>
      </c>
      <c r="I885" s="2" t="n">
        <v>7.4</v>
      </c>
      <c r="J885" s="2" t="s">
        <v>20</v>
      </c>
      <c r="K885" s="2"/>
      <c r="L885" s="3" t="n">
        <f aca="false">B885-WEEKDAY(B885,2)+1</f>
        <v>46307</v>
      </c>
      <c r="M885" s="4" t="n">
        <f aca="false">IFERROR(INDEX(02_Parâmetros!$B$14:$B$17,MATCH(C885,02_Parâmetros!$A$14:$A$17,0)),"")</f>
        <v>240</v>
      </c>
      <c r="N885" s="2" t="str">
        <f aca="false">IF(OR(H885="",M885=""),"",IF(H885&lt;=M885,"Sim","Não"))</f>
        <v>Não</v>
      </c>
    </row>
    <row r="886" customFormat="false" ht="15" hidden="false" customHeight="false" outlineLevel="0" collapsed="false">
      <c r="A886" s="2" t="s">
        <v>923</v>
      </c>
      <c r="B886" s="3" t="n">
        <v>46309</v>
      </c>
      <c r="C886" s="2" t="s">
        <v>44</v>
      </c>
      <c r="D886" s="2" t="s">
        <v>16</v>
      </c>
      <c r="E886" s="2" t="s">
        <v>31</v>
      </c>
      <c r="F886" s="2" t="s">
        <v>18</v>
      </c>
      <c r="G886" s="2" t="s">
        <v>19</v>
      </c>
      <c r="H886" s="2" t="n">
        <v>1.7</v>
      </c>
      <c r="I886" s="2" t="n">
        <v>6.7</v>
      </c>
      <c r="J886" s="2" t="s">
        <v>20</v>
      </c>
      <c r="K886" s="2" t="n">
        <v>5</v>
      </c>
      <c r="L886" s="3" t="n">
        <f aca="false">B886-WEEKDAY(B886,2)+1</f>
        <v>46307</v>
      </c>
      <c r="M886" s="4" t="n">
        <f aca="false">IFERROR(INDEX(02_Parâmetros!$B$14:$B$17,MATCH(C886,02_Parâmetros!$A$14:$A$17,0)),"")</f>
        <v>2</v>
      </c>
      <c r="N886" s="2" t="str">
        <f aca="false">IF(OR(H886="",M886=""),"",IF(H886&lt;=M886,"Sim","Não"))</f>
        <v>Sim</v>
      </c>
    </row>
    <row r="887" customFormat="false" ht="15" hidden="false" customHeight="false" outlineLevel="0" collapsed="false">
      <c r="A887" s="2" t="s">
        <v>924</v>
      </c>
      <c r="B887" s="3" t="n">
        <v>46309</v>
      </c>
      <c r="C887" s="2" t="s">
        <v>41</v>
      </c>
      <c r="D887" s="2" t="s">
        <v>38</v>
      </c>
      <c r="E887" s="2" t="s">
        <v>39</v>
      </c>
      <c r="F887" s="2" t="s">
        <v>32</v>
      </c>
      <c r="G887" s="2" t="s">
        <v>19</v>
      </c>
      <c r="H887" s="2" t="n">
        <v>306.3</v>
      </c>
      <c r="I887" s="2" t="n">
        <v>9.8</v>
      </c>
      <c r="J887" s="2" t="s">
        <v>20</v>
      </c>
      <c r="K887" s="2"/>
      <c r="L887" s="3" t="n">
        <f aca="false">B887-WEEKDAY(B887,2)+1</f>
        <v>46307</v>
      </c>
      <c r="M887" s="4" t="n">
        <f aca="false">IFERROR(INDEX(02_Parâmetros!$B$14:$B$17,MATCH(C887,02_Parâmetros!$A$14:$A$17,0)),"")</f>
        <v>240</v>
      </c>
      <c r="N887" s="2" t="str">
        <f aca="false">IF(OR(H887="",M887=""),"",IF(H887&lt;=M887,"Sim","Não"))</f>
        <v>Não</v>
      </c>
    </row>
    <row r="888" customFormat="false" ht="15" hidden="false" customHeight="false" outlineLevel="0" collapsed="false">
      <c r="A888" s="2" t="s">
        <v>925</v>
      </c>
      <c r="B888" s="3" t="n">
        <v>46309</v>
      </c>
      <c r="C888" s="2" t="s">
        <v>27</v>
      </c>
      <c r="D888" s="2" t="s">
        <v>16</v>
      </c>
      <c r="E888" s="2" t="s">
        <v>31</v>
      </c>
      <c r="F888" s="2" t="s">
        <v>34</v>
      </c>
      <c r="G888" s="2" t="s">
        <v>19</v>
      </c>
      <c r="H888" s="2" t="n">
        <v>7.2</v>
      </c>
      <c r="I888" s="2" t="n">
        <v>5</v>
      </c>
      <c r="J888" s="2" t="s">
        <v>20</v>
      </c>
      <c r="K888" s="2"/>
      <c r="L888" s="3" t="n">
        <f aca="false">B888-WEEKDAY(B888,2)+1</f>
        <v>46307</v>
      </c>
      <c r="M888" s="4" t="n">
        <f aca="false">IFERROR(INDEX(02_Parâmetros!$B$14:$B$17,MATCH(C888,02_Parâmetros!$A$14:$A$17,0)),"")</f>
        <v>10</v>
      </c>
      <c r="N888" s="2" t="str">
        <f aca="false">IF(OR(H888="",M888=""),"",IF(H888&lt;=M888,"Sim","Não"))</f>
        <v>Sim</v>
      </c>
    </row>
    <row r="889" customFormat="false" ht="15" hidden="false" customHeight="false" outlineLevel="0" collapsed="false">
      <c r="A889" s="2" t="s">
        <v>926</v>
      </c>
      <c r="B889" s="3" t="n">
        <v>46309</v>
      </c>
      <c r="C889" s="2" t="s">
        <v>41</v>
      </c>
      <c r="D889" s="2" t="s">
        <v>16</v>
      </c>
      <c r="E889" s="2" t="s">
        <v>36</v>
      </c>
      <c r="F889" s="2" t="s">
        <v>32</v>
      </c>
      <c r="G889" s="2" t="s">
        <v>19</v>
      </c>
      <c r="H889" s="2" t="n">
        <v>162.4</v>
      </c>
      <c r="I889" s="2" t="n">
        <v>11</v>
      </c>
      <c r="J889" s="2" t="s">
        <v>20</v>
      </c>
      <c r="K889" s="2" t="n">
        <v>4</v>
      </c>
      <c r="L889" s="3" t="n">
        <f aca="false">B889-WEEKDAY(B889,2)+1</f>
        <v>46307</v>
      </c>
      <c r="M889" s="4" t="n">
        <f aca="false">IFERROR(INDEX(02_Parâmetros!$B$14:$B$17,MATCH(C889,02_Parâmetros!$A$14:$A$17,0)),"")</f>
        <v>240</v>
      </c>
      <c r="N889" s="2" t="str">
        <f aca="false">IF(OR(H889="",M889=""),"",IF(H889&lt;=M889,"Sim","Não"))</f>
        <v>Sim</v>
      </c>
    </row>
    <row r="890" customFormat="false" ht="15" hidden="false" customHeight="false" outlineLevel="0" collapsed="false">
      <c r="A890" s="2" t="s">
        <v>927</v>
      </c>
      <c r="B890" s="3" t="n">
        <v>46310</v>
      </c>
      <c r="C890" s="2" t="s">
        <v>41</v>
      </c>
      <c r="D890" s="2" t="s">
        <v>22</v>
      </c>
      <c r="E890" s="2" t="s">
        <v>23</v>
      </c>
      <c r="F890" s="2" t="s">
        <v>24</v>
      </c>
      <c r="G890" s="2" t="s">
        <v>19</v>
      </c>
      <c r="H890" s="2" t="n">
        <v>232</v>
      </c>
      <c r="I890" s="2" t="n">
        <v>21.1</v>
      </c>
      <c r="J890" s="2" t="s">
        <v>20</v>
      </c>
      <c r="K890" s="2"/>
      <c r="L890" s="3" t="n">
        <f aca="false">B890-WEEKDAY(B890,2)+1</f>
        <v>46307</v>
      </c>
      <c r="M890" s="4" t="n">
        <f aca="false">IFERROR(INDEX(02_Parâmetros!$B$14:$B$17,MATCH(C890,02_Parâmetros!$A$14:$A$17,0)),"")</f>
        <v>240</v>
      </c>
      <c r="N890" s="2" t="str">
        <f aca="false">IF(OR(H890="",M890=""),"",IF(H890&lt;=M890,"Sim","Não"))</f>
        <v>Sim</v>
      </c>
    </row>
    <row r="891" customFormat="false" ht="15" hidden="false" customHeight="false" outlineLevel="0" collapsed="false">
      <c r="A891" s="2" t="s">
        <v>928</v>
      </c>
      <c r="B891" s="3" t="n">
        <v>46310</v>
      </c>
      <c r="C891" s="2" t="s">
        <v>44</v>
      </c>
      <c r="D891" s="2" t="s">
        <v>16</v>
      </c>
      <c r="E891" s="2" t="s">
        <v>36</v>
      </c>
      <c r="F891" s="2" t="s">
        <v>42</v>
      </c>
      <c r="G891" s="2" t="s">
        <v>19</v>
      </c>
      <c r="H891" s="2" t="n">
        <v>1.5</v>
      </c>
      <c r="I891" s="2" t="n">
        <v>7.6</v>
      </c>
      <c r="J891" s="2" t="s">
        <v>20</v>
      </c>
      <c r="K891" s="2"/>
      <c r="L891" s="3" t="n">
        <f aca="false">B891-WEEKDAY(B891,2)+1</f>
        <v>46307</v>
      </c>
      <c r="M891" s="4" t="n">
        <f aca="false">IFERROR(INDEX(02_Parâmetros!$B$14:$B$17,MATCH(C891,02_Parâmetros!$A$14:$A$17,0)),"")</f>
        <v>2</v>
      </c>
      <c r="N891" s="2" t="str">
        <f aca="false">IF(OR(H891="",M891=""),"",IF(H891&lt;=M891,"Sim","Não"))</f>
        <v>Sim</v>
      </c>
    </row>
    <row r="892" customFormat="false" ht="15" hidden="false" customHeight="false" outlineLevel="0" collapsed="false">
      <c r="A892" s="2" t="s">
        <v>929</v>
      </c>
      <c r="B892" s="3" t="n">
        <v>46310</v>
      </c>
      <c r="C892" s="2" t="s">
        <v>27</v>
      </c>
      <c r="D892" s="2" t="s">
        <v>38</v>
      </c>
      <c r="E892" s="2" t="s">
        <v>47</v>
      </c>
      <c r="F892" s="2" t="s">
        <v>70</v>
      </c>
      <c r="G892" s="2" t="s">
        <v>19</v>
      </c>
      <c r="H892" s="2" t="n">
        <v>6.9</v>
      </c>
      <c r="I892" s="2" t="n">
        <v>10</v>
      </c>
      <c r="J892" s="2" t="s">
        <v>25</v>
      </c>
      <c r="K892" s="2"/>
      <c r="L892" s="3" t="n">
        <f aca="false">B892-WEEKDAY(B892,2)+1</f>
        <v>46307</v>
      </c>
      <c r="M892" s="4" t="n">
        <f aca="false">IFERROR(INDEX(02_Parâmetros!$B$14:$B$17,MATCH(C892,02_Parâmetros!$A$14:$A$17,0)),"")</f>
        <v>10</v>
      </c>
      <c r="N892" s="2" t="str">
        <f aca="false">IF(OR(H892="",M892=""),"",IF(H892&lt;=M892,"Sim","Não"))</f>
        <v>Sim</v>
      </c>
    </row>
    <row r="893" customFormat="false" ht="15" hidden="false" customHeight="false" outlineLevel="0" collapsed="false">
      <c r="A893" s="2" t="s">
        <v>930</v>
      </c>
      <c r="B893" s="3" t="n">
        <v>46310</v>
      </c>
      <c r="C893" s="2" t="s">
        <v>27</v>
      </c>
      <c r="D893" s="2" t="s">
        <v>16</v>
      </c>
      <c r="E893" s="2" t="s">
        <v>17</v>
      </c>
      <c r="F893" s="2" t="s">
        <v>32</v>
      </c>
      <c r="G893" s="2" t="s">
        <v>19</v>
      </c>
      <c r="H893" s="2" t="n">
        <v>23.9</v>
      </c>
      <c r="I893" s="2" t="n">
        <v>6.2</v>
      </c>
      <c r="J893" s="2" t="s">
        <v>25</v>
      </c>
      <c r="K893" s="2"/>
      <c r="L893" s="3" t="n">
        <f aca="false">B893-WEEKDAY(B893,2)+1</f>
        <v>46307</v>
      </c>
      <c r="M893" s="4" t="n">
        <f aca="false">IFERROR(INDEX(02_Parâmetros!$B$14:$B$17,MATCH(C893,02_Parâmetros!$A$14:$A$17,0)),"")</f>
        <v>10</v>
      </c>
      <c r="N893" s="2" t="str">
        <f aca="false">IF(OR(H893="",M893=""),"",IF(H893&lt;=M893,"Sim","Não"))</f>
        <v>Não</v>
      </c>
    </row>
    <row r="894" customFormat="false" ht="15" hidden="false" customHeight="false" outlineLevel="0" collapsed="false">
      <c r="A894" s="2" t="s">
        <v>931</v>
      </c>
      <c r="B894" s="3" t="n">
        <v>46310</v>
      </c>
      <c r="C894" s="2" t="s">
        <v>27</v>
      </c>
      <c r="D894" s="2" t="s">
        <v>38</v>
      </c>
      <c r="E894" s="2" t="s">
        <v>47</v>
      </c>
      <c r="F894" s="2" t="s">
        <v>70</v>
      </c>
      <c r="G894" s="2" t="s">
        <v>19</v>
      </c>
      <c r="H894" s="2" t="n">
        <v>3.4</v>
      </c>
      <c r="I894" s="2" t="n">
        <v>9.2</v>
      </c>
      <c r="J894" s="2" t="s">
        <v>20</v>
      </c>
      <c r="K894" s="2"/>
      <c r="L894" s="3" t="n">
        <f aca="false">B894-WEEKDAY(B894,2)+1</f>
        <v>46307</v>
      </c>
      <c r="M894" s="4" t="n">
        <f aca="false">IFERROR(INDEX(02_Parâmetros!$B$14:$B$17,MATCH(C894,02_Parâmetros!$A$14:$A$17,0)),"")</f>
        <v>10</v>
      </c>
      <c r="N894" s="2" t="str">
        <f aca="false">IF(OR(H894="",M894=""),"",IF(H894&lt;=M894,"Sim","Não"))</f>
        <v>Sim</v>
      </c>
    </row>
    <row r="895" customFormat="false" ht="15" hidden="false" customHeight="false" outlineLevel="0" collapsed="false">
      <c r="A895" s="2" t="s">
        <v>932</v>
      </c>
      <c r="B895" s="3" t="n">
        <v>46310</v>
      </c>
      <c r="C895" s="2" t="s">
        <v>27</v>
      </c>
      <c r="D895" s="2" t="s">
        <v>38</v>
      </c>
      <c r="E895" s="2" t="s">
        <v>56</v>
      </c>
      <c r="F895" s="2" t="s">
        <v>42</v>
      </c>
      <c r="G895" s="2" t="s">
        <v>19</v>
      </c>
      <c r="H895" s="2" t="n">
        <v>5.8</v>
      </c>
      <c r="I895" s="2" t="n">
        <v>9.4</v>
      </c>
      <c r="J895" s="2" t="s">
        <v>20</v>
      </c>
      <c r="K895" s="2" t="n">
        <v>5</v>
      </c>
      <c r="L895" s="3" t="n">
        <f aca="false">B895-WEEKDAY(B895,2)+1</f>
        <v>46307</v>
      </c>
      <c r="M895" s="4" t="n">
        <f aca="false">IFERROR(INDEX(02_Parâmetros!$B$14:$B$17,MATCH(C895,02_Parâmetros!$A$14:$A$17,0)),"")</f>
        <v>10</v>
      </c>
      <c r="N895" s="2" t="str">
        <f aca="false">IF(OR(H895="",M895=""),"",IF(H895&lt;=M895,"Sim","Não"))</f>
        <v>Sim</v>
      </c>
    </row>
    <row r="896" customFormat="false" ht="15" hidden="false" customHeight="false" outlineLevel="0" collapsed="false">
      <c r="A896" s="2" t="s">
        <v>933</v>
      </c>
      <c r="B896" s="3" t="n">
        <v>46310</v>
      </c>
      <c r="C896" s="2" t="s">
        <v>41</v>
      </c>
      <c r="D896" s="2" t="s">
        <v>38</v>
      </c>
      <c r="E896" s="2" t="s">
        <v>47</v>
      </c>
      <c r="F896" s="2" t="s">
        <v>18</v>
      </c>
      <c r="G896" s="2" t="s">
        <v>19</v>
      </c>
      <c r="H896" s="2" t="n">
        <v>179.3</v>
      </c>
      <c r="I896" s="2" t="n">
        <v>9.5</v>
      </c>
      <c r="J896" s="2" t="s">
        <v>20</v>
      </c>
      <c r="K896" s="2"/>
      <c r="L896" s="3" t="n">
        <f aca="false">B896-WEEKDAY(B896,2)+1</f>
        <v>46307</v>
      </c>
      <c r="M896" s="4" t="n">
        <f aca="false">IFERROR(INDEX(02_Parâmetros!$B$14:$B$17,MATCH(C896,02_Parâmetros!$A$14:$A$17,0)),"")</f>
        <v>240</v>
      </c>
      <c r="N896" s="2" t="str">
        <f aca="false">IF(OR(H896="",M896=""),"",IF(H896&lt;=M896,"Sim","Não"))</f>
        <v>Sim</v>
      </c>
    </row>
    <row r="897" customFormat="false" ht="15" hidden="false" customHeight="false" outlineLevel="0" collapsed="false">
      <c r="A897" s="2" t="s">
        <v>934</v>
      </c>
      <c r="B897" s="3" t="n">
        <v>46310</v>
      </c>
      <c r="C897" s="2" t="s">
        <v>27</v>
      </c>
      <c r="D897" s="2" t="s">
        <v>22</v>
      </c>
      <c r="E897" s="2" t="s">
        <v>23</v>
      </c>
      <c r="F897" s="2" t="s">
        <v>18</v>
      </c>
      <c r="G897" s="2" t="s">
        <v>19</v>
      </c>
      <c r="H897" s="2" t="n">
        <v>13.5</v>
      </c>
      <c r="I897" s="2" t="n">
        <v>4.8</v>
      </c>
      <c r="J897" s="2" t="s">
        <v>20</v>
      </c>
      <c r="K897" s="2"/>
      <c r="L897" s="3" t="n">
        <f aca="false">B897-WEEKDAY(B897,2)+1</f>
        <v>46307</v>
      </c>
      <c r="M897" s="4" t="n">
        <f aca="false">IFERROR(INDEX(02_Parâmetros!$B$14:$B$17,MATCH(C897,02_Parâmetros!$A$14:$A$17,0)),"")</f>
        <v>10</v>
      </c>
      <c r="N897" s="2" t="str">
        <f aca="false">IF(OR(H897="",M897=""),"",IF(H897&lt;=M897,"Sim","Não"))</f>
        <v>Não</v>
      </c>
    </row>
    <row r="898" customFormat="false" ht="15" hidden="false" customHeight="false" outlineLevel="0" collapsed="false">
      <c r="A898" s="2" t="s">
        <v>935</v>
      </c>
      <c r="B898" s="3" t="n">
        <v>46310</v>
      </c>
      <c r="C898" s="2" t="s">
        <v>44</v>
      </c>
      <c r="D898" s="2" t="s">
        <v>38</v>
      </c>
      <c r="E898" s="2" t="s">
        <v>39</v>
      </c>
      <c r="F898" s="2" t="s">
        <v>34</v>
      </c>
      <c r="G898" s="2" t="s">
        <v>19</v>
      </c>
      <c r="H898" s="2" t="n">
        <v>1.7</v>
      </c>
      <c r="I898" s="2" t="n">
        <v>7</v>
      </c>
      <c r="J898" s="2" t="s">
        <v>20</v>
      </c>
      <c r="K898" s="2"/>
      <c r="L898" s="3" t="n">
        <f aca="false">B898-WEEKDAY(B898,2)+1</f>
        <v>46307</v>
      </c>
      <c r="M898" s="4" t="n">
        <f aca="false">IFERROR(INDEX(02_Parâmetros!$B$14:$B$17,MATCH(C898,02_Parâmetros!$A$14:$A$17,0)),"")</f>
        <v>2</v>
      </c>
      <c r="N898" s="2" t="str">
        <f aca="false">IF(OR(H898="",M898=""),"",IF(H898&lt;=M898,"Sim","Não"))</f>
        <v>Sim</v>
      </c>
    </row>
    <row r="899" customFormat="false" ht="15" hidden="false" customHeight="false" outlineLevel="0" collapsed="false">
      <c r="A899" s="2" t="s">
        <v>936</v>
      </c>
      <c r="B899" s="3" t="n">
        <v>46310</v>
      </c>
      <c r="C899" s="2" t="s">
        <v>27</v>
      </c>
      <c r="D899" s="2" t="s">
        <v>22</v>
      </c>
      <c r="E899" s="2" t="s">
        <v>28</v>
      </c>
      <c r="F899" s="2" t="s">
        <v>24</v>
      </c>
      <c r="G899" s="2" t="s">
        <v>19</v>
      </c>
      <c r="H899" s="2" t="n">
        <v>5.3</v>
      </c>
      <c r="I899" s="2" t="n">
        <v>8.9</v>
      </c>
      <c r="J899" s="2" t="s">
        <v>25</v>
      </c>
      <c r="K899" s="2" t="n">
        <v>5</v>
      </c>
      <c r="L899" s="3" t="n">
        <f aca="false">B899-WEEKDAY(B899,2)+1</f>
        <v>46307</v>
      </c>
      <c r="M899" s="4" t="n">
        <f aca="false">IFERROR(INDEX(02_Parâmetros!$B$14:$B$17,MATCH(C899,02_Parâmetros!$A$14:$A$17,0)),"")</f>
        <v>10</v>
      </c>
      <c r="N899" s="2" t="str">
        <f aca="false">IF(OR(H899="",M899=""),"",IF(H899&lt;=M899,"Sim","Não"))</f>
        <v>Sim</v>
      </c>
    </row>
    <row r="900" customFormat="false" ht="15" hidden="false" customHeight="false" outlineLevel="0" collapsed="false">
      <c r="A900" s="2" t="s">
        <v>937</v>
      </c>
      <c r="B900" s="3" t="n">
        <v>46310</v>
      </c>
      <c r="C900" s="2" t="s">
        <v>41</v>
      </c>
      <c r="D900" s="2" t="s">
        <v>22</v>
      </c>
      <c r="E900" s="2" t="s">
        <v>28</v>
      </c>
      <c r="F900" s="2" t="s">
        <v>42</v>
      </c>
      <c r="G900" s="2" t="s">
        <v>19</v>
      </c>
      <c r="H900" s="2" t="n">
        <v>214</v>
      </c>
      <c r="I900" s="2" t="n">
        <v>17.4</v>
      </c>
      <c r="J900" s="2" t="s">
        <v>20</v>
      </c>
      <c r="K900" s="2"/>
      <c r="L900" s="3" t="n">
        <f aca="false">B900-WEEKDAY(B900,2)+1</f>
        <v>46307</v>
      </c>
      <c r="M900" s="4" t="n">
        <f aca="false">IFERROR(INDEX(02_Parâmetros!$B$14:$B$17,MATCH(C900,02_Parâmetros!$A$14:$A$17,0)),"")</f>
        <v>240</v>
      </c>
      <c r="N900" s="2" t="str">
        <f aca="false">IF(OR(H900="",M900=""),"",IF(H900&lt;=M900,"Sim","Não"))</f>
        <v>Sim</v>
      </c>
    </row>
    <row r="901" customFormat="false" ht="15" hidden="false" customHeight="false" outlineLevel="0" collapsed="false">
      <c r="A901" s="2" t="s">
        <v>938</v>
      </c>
      <c r="B901" s="3" t="n">
        <v>46310</v>
      </c>
      <c r="C901" s="2" t="s">
        <v>15</v>
      </c>
      <c r="D901" s="2" t="s">
        <v>38</v>
      </c>
      <c r="E901" s="2" t="s">
        <v>39</v>
      </c>
      <c r="F901" s="2" t="s">
        <v>42</v>
      </c>
      <c r="G901" s="2" t="s">
        <v>19</v>
      </c>
      <c r="H901" s="2" t="n">
        <v>1</v>
      </c>
      <c r="I901" s="2" t="n">
        <v>10.7</v>
      </c>
      <c r="J901" s="2" t="s">
        <v>20</v>
      </c>
      <c r="K901" s="2" t="n">
        <v>3</v>
      </c>
      <c r="L901" s="3" t="n">
        <f aca="false">B901-WEEKDAY(B901,2)+1</f>
        <v>46307</v>
      </c>
      <c r="M901" s="4" t="n">
        <f aca="false">IFERROR(INDEX(02_Parâmetros!$B$14:$B$17,MATCH(C901,02_Parâmetros!$A$14:$A$17,0)),"")</f>
        <v>1</v>
      </c>
      <c r="N901" s="2" t="str">
        <f aca="false">IF(OR(H901="",M901=""),"",IF(H901&lt;=M901,"Sim","Não"))</f>
        <v>Sim</v>
      </c>
    </row>
    <row r="902" customFormat="false" ht="15" hidden="false" customHeight="false" outlineLevel="0" collapsed="false">
      <c r="A902" s="2" t="s">
        <v>939</v>
      </c>
      <c r="B902" s="3" t="n">
        <v>46310</v>
      </c>
      <c r="C902" s="2" t="s">
        <v>27</v>
      </c>
      <c r="D902" s="2" t="s">
        <v>22</v>
      </c>
      <c r="E902" s="2" t="s">
        <v>28</v>
      </c>
      <c r="F902" s="2" t="s">
        <v>42</v>
      </c>
      <c r="G902" s="2" t="s">
        <v>19</v>
      </c>
      <c r="H902" s="2" t="n">
        <v>5.5</v>
      </c>
      <c r="I902" s="2" t="n">
        <v>8</v>
      </c>
      <c r="J902" s="2" t="s">
        <v>25</v>
      </c>
      <c r="K902" s="2"/>
      <c r="L902" s="3" t="n">
        <f aca="false">B902-WEEKDAY(B902,2)+1</f>
        <v>46307</v>
      </c>
      <c r="M902" s="4" t="n">
        <f aca="false">IFERROR(INDEX(02_Parâmetros!$B$14:$B$17,MATCH(C902,02_Parâmetros!$A$14:$A$17,0)),"")</f>
        <v>10</v>
      </c>
      <c r="N902" s="2" t="str">
        <f aca="false">IF(OR(H902="",M902=""),"",IF(H902&lt;=M902,"Sim","Não"))</f>
        <v>Sim</v>
      </c>
    </row>
    <row r="903" customFormat="false" ht="15" hidden="false" customHeight="false" outlineLevel="0" collapsed="false">
      <c r="A903" s="2" t="s">
        <v>940</v>
      </c>
      <c r="B903" s="3" t="n">
        <v>46310</v>
      </c>
      <c r="C903" s="2" t="s">
        <v>41</v>
      </c>
      <c r="D903" s="2" t="s">
        <v>22</v>
      </c>
      <c r="E903" s="2" t="s">
        <v>23</v>
      </c>
      <c r="F903" s="2" t="s">
        <v>32</v>
      </c>
      <c r="G903" s="2" t="s">
        <v>19</v>
      </c>
      <c r="H903" s="2" t="n">
        <v>70.6</v>
      </c>
      <c r="I903" s="2" t="n">
        <v>8.4</v>
      </c>
      <c r="J903" s="2" t="s">
        <v>20</v>
      </c>
      <c r="K903" s="2"/>
      <c r="L903" s="3" t="n">
        <f aca="false">B903-WEEKDAY(B903,2)+1</f>
        <v>46307</v>
      </c>
      <c r="M903" s="4" t="n">
        <f aca="false">IFERROR(INDEX(02_Parâmetros!$B$14:$B$17,MATCH(C903,02_Parâmetros!$A$14:$A$17,0)),"")</f>
        <v>240</v>
      </c>
      <c r="N903" s="2" t="str">
        <f aca="false">IF(OR(H903="",M903=""),"",IF(H903&lt;=M903,"Sim","Não"))</f>
        <v>Sim</v>
      </c>
    </row>
    <row r="904" customFormat="false" ht="15" hidden="false" customHeight="false" outlineLevel="0" collapsed="false">
      <c r="A904" s="2" t="s">
        <v>941</v>
      </c>
      <c r="B904" s="3" t="n">
        <v>46310</v>
      </c>
      <c r="C904" s="2" t="s">
        <v>27</v>
      </c>
      <c r="D904" s="2" t="s">
        <v>38</v>
      </c>
      <c r="E904" s="2" t="s">
        <v>56</v>
      </c>
      <c r="F904" s="2" t="s">
        <v>18</v>
      </c>
      <c r="G904" s="2" t="s">
        <v>19</v>
      </c>
      <c r="H904" s="2" t="n">
        <v>2.8</v>
      </c>
      <c r="I904" s="2" t="n">
        <v>7.6</v>
      </c>
      <c r="J904" s="2" t="s">
        <v>25</v>
      </c>
      <c r="K904" s="2" t="n">
        <v>5</v>
      </c>
      <c r="L904" s="3" t="n">
        <f aca="false">B904-WEEKDAY(B904,2)+1</f>
        <v>46307</v>
      </c>
      <c r="M904" s="4" t="n">
        <f aca="false">IFERROR(INDEX(02_Parâmetros!$B$14:$B$17,MATCH(C904,02_Parâmetros!$A$14:$A$17,0)),"")</f>
        <v>10</v>
      </c>
      <c r="N904" s="2" t="str">
        <f aca="false">IF(OR(H904="",M904=""),"",IF(H904&lt;=M904,"Sim","Não"))</f>
        <v>Sim</v>
      </c>
    </row>
    <row r="905" customFormat="false" ht="15" hidden="false" customHeight="false" outlineLevel="0" collapsed="false">
      <c r="A905" s="2" t="s">
        <v>942</v>
      </c>
      <c r="B905" s="3" t="n">
        <v>46310</v>
      </c>
      <c r="C905" s="2" t="s">
        <v>15</v>
      </c>
      <c r="D905" s="2" t="s">
        <v>38</v>
      </c>
      <c r="E905" s="2" t="s">
        <v>56</v>
      </c>
      <c r="F905" s="2" t="s">
        <v>24</v>
      </c>
      <c r="G905" s="2" t="s">
        <v>19</v>
      </c>
      <c r="H905" s="2" t="n">
        <v>0.5</v>
      </c>
      <c r="I905" s="2" t="n">
        <v>15.4</v>
      </c>
      <c r="J905" s="2" t="s">
        <v>20</v>
      </c>
      <c r="K905" s="2" t="n">
        <v>4</v>
      </c>
      <c r="L905" s="3" t="n">
        <f aca="false">B905-WEEKDAY(B905,2)+1</f>
        <v>46307</v>
      </c>
      <c r="M905" s="4" t="n">
        <f aca="false">IFERROR(INDEX(02_Parâmetros!$B$14:$B$17,MATCH(C905,02_Parâmetros!$A$14:$A$17,0)),"")</f>
        <v>1</v>
      </c>
      <c r="N905" s="2" t="str">
        <f aca="false">IF(OR(H905="",M905=""),"",IF(H905&lt;=M905,"Sim","Não"))</f>
        <v>Sim</v>
      </c>
    </row>
    <row r="906" customFormat="false" ht="15" hidden="false" customHeight="false" outlineLevel="0" collapsed="false">
      <c r="A906" s="2" t="s">
        <v>943</v>
      </c>
      <c r="B906" s="3" t="n">
        <v>46310</v>
      </c>
      <c r="C906" s="2" t="s">
        <v>44</v>
      </c>
      <c r="D906" s="2" t="s">
        <v>22</v>
      </c>
      <c r="E906" s="2" t="s">
        <v>23</v>
      </c>
      <c r="F906" s="2" t="s">
        <v>32</v>
      </c>
      <c r="G906" s="2" t="s">
        <v>19</v>
      </c>
      <c r="H906" s="2" t="n">
        <v>1.9</v>
      </c>
      <c r="I906" s="2" t="n">
        <v>6.4</v>
      </c>
      <c r="J906" s="2" t="s">
        <v>20</v>
      </c>
      <c r="K906" s="2"/>
      <c r="L906" s="3" t="n">
        <f aca="false">B906-WEEKDAY(B906,2)+1</f>
        <v>46307</v>
      </c>
      <c r="M906" s="4" t="n">
        <f aca="false">IFERROR(INDEX(02_Parâmetros!$B$14:$B$17,MATCH(C906,02_Parâmetros!$A$14:$A$17,0)),"")</f>
        <v>2</v>
      </c>
      <c r="N906" s="2" t="str">
        <f aca="false">IF(OR(H906="",M906=""),"",IF(H906&lt;=M906,"Sim","Não"))</f>
        <v>Sim</v>
      </c>
    </row>
    <row r="907" customFormat="false" ht="15" hidden="false" customHeight="false" outlineLevel="0" collapsed="false">
      <c r="A907" s="2" t="s">
        <v>944</v>
      </c>
      <c r="B907" s="3" t="n">
        <v>46310</v>
      </c>
      <c r="C907" s="2" t="s">
        <v>27</v>
      </c>
      <c r="D907" s="2" t="s">
        <v>16</v>
      </c>
      <c r="E907" s="2" t="s">
        <v>31</v>
      </c>
      <c r="F907" s="2" t="s">
        <v>24</v>
      </c>
      <c r="G907" s="2" t="s">
        <v>19</v>
      </c>
      <c r="H907" s="2" t="n">
        <v>5.6</v>
      </c>
      <c r="I907" s="2" t="n">
        <v>8.5</v>
      </c>
      <c r="J907" s="2" t="s">
        <v>20</v>
      </c>
      <c r="K907" s="2" t="n">
        <v>4</v>
      </c>
      <c r="L907" s="3" t="n">
        <f aca="false">B907-WEEKDAY(B907,2)+1</f>
        <v>46307</v>
      </c>
      <c r="M907" s="4" t="n">
        <f aca="false">IFERROR(INDEX(02_Parâmetros!$B$14:$B$17,MATCH(C907,02_Parâmetros!$A$14:$A$17,0)),"")</f>
        <v>10</v>
      </c>
      <c r="N907" s="2" t="str">
        <f aca="false">IF(OR(H907="",M907=""),"",IF(H907&lt;=M907,"Sim","Não"))</f>
        <v>Sim</v>
      </c>
    </row>
    <row r="908" customFormat="false" ht="15" hidden="false" customHeight="false" outlineLevel="0" collapsed="false">
      <c r="A908" s="2" t="s">
        <v>945</v>
      </c>
      <c r="B908" s="3" t="n">
        <v>46310</v>
      </c>
      <c r="C908" s="2" t="s">
        <v>41</v>
      </c>
      <c r="D908" s="2" t="s">
        <v>38</v>
      </c>
      <c r="E908" s="2" t="s">
        <v>47</v>
      </c>
      <c r="F908" s="2" t="s">
        <v>42</v>
      </c>
      <c r="G908" s="2" t="s">
        <v>19</v>
      </c>
      <c r="H908" s="2" t="n">
        <v>190.2</v>
      </c>
      <c r="I908" s="2" t="n">
        <v>9.4</v>
      </c>
      <c r="J908" s="2" t="s">
        <v>20</v>
      </c>
      <c r="K908" s="2" t="n">
        <v>2</v>
      </c>
      <c r="L908" s="3" t="n">
        <f aca="false">B908-WEEKDAY(B908,2)+1</f>
        <v>46307</v>
      </c>
      <c r="M908" s="4" t="n">
        <f aca="false">IFERROR(INDEX(02_Parâmetros!$B$14:$B$17,MATCH(C908,02_Parâmetros!$A$14:$A$17,0)),"")</f>
        <v>240</v>
      </c>
      <c r="N908" s="2" t="str">
        <f aca="false">IF(OR(H908="",M908=""),"",IF(H908&lt;=M908,"Sim","Não"))</f>
        <v>Sim</v>
      </c>
    </row>
    <row r="909" customFormat="false" ht="15" hidden="false" customHeight="false" outlineLevel="0" collapsed="false">
      <c r="A909" s="2" t="s">
        <v>946</v>
      </c>
      <c r="B909" s="3" t="n">
        <v>46310</v>
      </c>
      <c r="C909" s="2" t="s">
        <v>27</v>
      </c>
      <c r="D909" s="2" t="s">
        <v>38</v>
      </c>
      <c r="E909" s="2" t="s">
        <v>39</v>
      </c>
      <c r="F909" s="2" t="s">
        <v>18</v>
      </c>
      <c r="G909" s="2" t="s">
        <v>19</v>
      </c>
      <c r="H909" s="2" t="n">
        <v>6.5</v>
      </c>
      <c r="I909" s="2" t="n">
        <v>6.3</v>
      </c>
      <c r="J909" s="2" t="s">
        <v>25</v>
      </c>
      <c r="K909" s="2"/>
      <c r="L909" s="3" t="n">
        <f aca="false">B909-WEEKDAY(B909,2)+1</f>
        <v>46307</v>
      </c>
      <c r="M909" s="4" t="n">
        <f aca="false">IFERROR(INDEX(02_Parâmetros!$B$14:$B$17,MATCH(C909,02_Parâmetros!$A$14:$A$17,0)),"")</f>
        <v>10</v>
      </c>
      <c r="N909" s="2" t="str">
        <f aca="false">IF(OR(H909="",M909=""),"",IF(H909&lt;=M909,"Sim","Não"))</f>
        <v>Sim</v>
      </c>
    </row>
    <row r="910" customFormat="false" ht="15" hidden="false" customHeight="false" outlineLevel="0" collapsed="false">
      <c r="A910" s="2" t="s">
        <v>947</v>
      </c>
      <c r="B910" s="3" t="n">
        <v>46310</v>
      </c>
      <c r="C910" s="2" t="s">
        <v>41</v>
      </c>
      <c r="D910" s="2" t="s">
        <v>16</v>
      </c>
      <c r="E910" s="2" t="s">
        <v>31</v>
      </c>
      <c r="F910" s="2" t="s">
        <v>18</v>
      </c>
      <c r="G910" s="2" t="s">
        <v>19</v>
      </c>
      <c r="H910" s="2" t="n">
        <v>552.8</v>
      </c>
      <c r="I910" s="2" t="n">
        <v>9.8</v>
      </c>
      <c r="J910" s="2" t="s">
        <v>20</v>
      </c>
      <c r="K910" s="2"/>
      <c r="L910" s="3" t="n">
        <f aca="false">B910-WEEKDAY(B910,2)+1</f>
        <v>46307</v>
      </c>
      <c r="M910" s="4" t="n">
        <f aca="false">IFERROR(INDEX(02_Parâmetros!$B$14:$B$17,MATCH(C910,02_Parâmetros!$A$14:$A$17,0)),"")</f>
        <v>240</v>
      </c>
      <c r="N910" s="2" t="str">
        <f aca="false">IF(OR(H910="",M910=""),"",IF(H910&lt;=M910,"Sim","Não"))</f>
        <v>Não</v>
      </c>
    </row>
    <row r="911" customFormat="false" ht="15" hidden="false" customHeight="false" outlineLevel="0" collapsed="false">
      <c r="A911" s="2" t="s">
        <v>948</v>
      </c>
      <c r="B911" s="3" t="n">
        <v>46310</v>
      </c>
      <c r="C911" s="2" t="s">
        <v>15</v>
      </c>
      <c r="D911" s="2" t="s">
        <v>22</v>
      </c>
      <c r="E911" s="2" t="s">
        <v>28</v>
      </c>
      <c r="F911" s="2" t="s">
        <v>42</v>
      </c>
      <c r="G911" s="2" t="s">
        <v>19</v>
      </c>
      <c r="H911" s="2" t="n">
        <v>2.8</v>
      </c>
      <c r="I911" s="2" t="n">
        <v>11.2</v>
      </c>
      <c r="J911" s="2" t="s">
        <v>20</v>
      </c>
      <c r="K911" s="2" t="n">
        <v>5</v>
      </c>
      <c r="L911" s="3" t="n">
        <f aca="false">B911-WEEKDAY(B911,2)+1</f>
        <v>46307</v>
      </c>
      <c r="M911" s="4" t="n">
        <f aca="false">IFERROR(INDEX(02_Parâmetros!$B$14:$B$17,MATCH(C911,02_Parâmetros!$A$14:$A$17,0)),"")</f>
        <v>1</v>
      </c>
      <c r="N911" s="2" t="str">
        <f aca="false">IF(OR(H911="",M911=""),"",IF(H911&lt;=M911,"Sim","Não"))</f>
        <v>Não</v>
      </c>
    </row>
    <row r="912" customFormat="false" ht="15" hidden="false" customHeight="false" outlineLevel="0" collapsed="false">
      <c r="A912" s="2" t="s">
        <v>949</v>
      </c>
      <c r="B912" s="3" t="n">
        <v>46310</v>
      </c>
      <c r="C912" s="2" t="s">
        <v>27</v>
      </c>
      <c r="D912" s="2" t="s">
        <v>16</v>
      </c>
      <c r="E912" s="2" t="s">
        <v>31</v>
      </c>
      <c r="F912" s="2" t="s">
        <v>32</v>
      </c>
      <c r="G912" s="2" t="s">
        <v>19</v>
      </c>
      <c r="H912" s="2" t="n">
        <v>17.2</v>
      </c>
      <c r="I912" s="2" t="n">
        <v>7.2</v>
      </c>
      <c r="J912" s="2" t="s">
        <v>20</v>
      </c>
      <c r="K912" s="2"/>
      <c r="L912" s="3" t="n">
        <f aca="false">B912-WEEKDAY(B912,2)+1</f>
        <v>46307</v>
      </c>
      <c r="M912" s="4" t="n">
        <f aca="false">IFERROR(INDEX(02_Parâmetros!$B$14:$B$17,MATCH(C912,02_Parâmetros!$A$14:$A$17,0)),"")</f>
        <v>10</v>
      </c>
      <c r="N912" s="2" t="str">
        <f aca="false">IF(OR(H912="",M912=""),"",IF(H912&lt;=M912,"Sim","Não"))</f>
        <v>Não</v>
      </c>
    </row>
    <row r="913" customFormat="false" ht="15" hidden="false" customHeight="false" outlineLevel="0" collapsed="false">
      <c r="A913" s="2" t="s">
        <v>950</v>
      </c>
      <c r="B913" s="3" t="n">
        <v>46310</v>
      </c>
      <c r="C913" s="2" t="s">
        <v>15</v>
      </c>
      <c r="D913" s="2" t="s">
        <v>22</v>
      </c>
      <c r="E913" s="2" t="s">
        <v>23</v>
      </c>
      <c r="F913" s="2" t="s">
        <v>32</v>
      </c>
      <c r="G913" s="2" t="s">
        <v>19</v>
      </c>
      <c r="H913" s="2" t="n">
        <v>0.3</v>
      </c>
      <c r="I913" s="2" t="n">
        <v>8.3</v>
      </c>
      <c r="J913" s="2" t="s">
        <v>20</v>
      </c>
      <c r="K913" s="2" t="n">
        <v>5</v>
      </c>
      <c r="L913" s="3" t="n">
        <f aca="false">B913-WEEKDAY(B913,2)+1</f>
        <v>46307</v>
      </c>
      <c r="M913" s="4" t="n">
        <f aca="false">IFERROR(INDEX(02_Parâmetros!$B$14:$B$17,MATCH(C913,02_Parâmetros!$A$14:$A$17,0)),"")</f>
        <v>1</v>
      </c>
      <c r="N913" s="2" t="str">
        <f aca="false">IF(OR(H913="",M913=""),"",IF(H913&lt;=M913,"Sim","Não"))</f>
        <v>Sim</v>
      </c>
    </row>
    <row r="914" customFormat="false" ht="15" hidden="false" customHeight="false" outlineLevel="0" collapsed="false">
      <c r="A914" s="2" t="s">
        <v>951</v>
      </c>
      <c r="B914" s="3" t="n">
        <v>46310</v>
      </c>
      <c r="C914" s="2" t="s">
        <v>27</v>
      </c>
      <c r="D914" s="2" t="s">
        <v>16</v>
      </c>
      <c r="E914" s="2" t="s">
        <v>31</v>
      </c>
      <c r="F914" s="2" t="s">
        <v>18</v>
      </c>
      <c r="G914" s="2" t="s">
        <v>19</v>
      </c>
      <c r="H914" s="2" t="n">
        <v>9</v>
      </c>
      <c r="I914" s="2" t="n">
        <v>10.8</v>
      </c>
      <c r="J914" s="2" t="s">
        <v>20</v>
      </c>
      <c r="K914" s="2"/>
      <c r="L914" s="3" t="n">
        <f aca="false">B914-WEEKDAY(B914,2)+1</f>
        <v>46307</v>
      </c>
      <c r="M914" s="4" t="n">
        <f aca="false">IFERROR(INDEX(02_Parâmetros!$B$14:$B$17,MATCH(C914,02_Parâmetros!$A$14:$A$17,0)),"")</f>
        <v>10</v>
      </c>
      <c r="N914" s="2" t="str">
        <f aca="false">IF(OR(H914="",M914=""),"",IF(H914&lt;=M914,"Sim","Não"))</f>
        <v>Sim</v>
      </c>
    </row>
    <row r="915" customFormat="false" ht="15" hidden="false" customHeight="false" outlineLevel="0" collapsed="false">
      <c r="A915" s="2" t="s">
        <v>952</v>
      </c>
      <c r="B915" s="3" t="n">
        <v>46310</v>
      </c>
      <c r="C915" s="2" t="s">
        <v>27</v>
      </c>
      <c r="D915" s="2" t="s">
        <v>38</v>
      </c>
      <c r="E915" s="2" t="s">
        <v>39</v>
      </c>
      <c r="F915" s="2" t="s">
        <v>34</v>
      </c>
      <c r="G915" s="2" t="s">
        <v>19</v>
      </c>
      <c r="H915" s="2" t="n">
        <v>3.7</v>
      </c>
      <c r="I915" s="2" t="n">
        <v>7.5</v>
      </c>
      <c r="J915" s="2" t="s">
        <v>20</v>
      </c>
      <c r="K915" s="2"/>
      <c r="L915" s="3" t="n">
        <f aca="false">B915-WEEKDAY(B915,2)+1</f>
        <v>46307</v>
      </c>
      <c r="M915" s="4" t="n">
        <f aca="false">IFERROR(INDEX(02_Parâmetros!$B$14:$B$17,MATCH(C915,02_Parâmetros!$A$14:$A$17,0)),"")</f>
        <v>10</v>
      </c>
      <c r="N915" s="2" t="str">
        <f aca="false">IF(OR(H915="",M915=""),"",IF(H915&lt;=M915,"Sim","Não"))</f>
        <v>Sim</v>
      </c>
    </row>
    <row r="916" customFormat="false" ht="15" hidden="false" customHeight="false" outlineLevel="0" collapsed="false">
      <c r="A916" s="2" t="s">
        <v>953</v>
      </c>
      <c r="B916" s="3" t="n">
        <v>46310</v>
      </c>
      <c r="C916" s="2" t="s">
        <v>41</v>
      </c>
      <c r="D916" s="2" t="s">
        <v>16</v>
      </c>
      <c r="E916" s="2" t="s">
        <v>31</v>
      </c>
      <c r="F916" s="2" t="s">
        <v>32</v>
      </c>
      <c r="G916" s="2" t="s">
        <v>19</v>
      </c>
      <c r="H916" s="2" t="n">
        <v>231.2</v>
      </c>
      <c r="I916" s="2" t="n">
        <v>9.5</v>
      </c>
      <c r="J916" s="2" t="s">
        <v>20</v>
      </c>
      <c r="K916" s="2"/>
      <c r="L916" s="3" t="n">
        <f aca="false">B916-WEEKDAY(B916,2)+1</f>
        <v>46307</v>
      </c>
      <c r="M916" s="4" t="n">
        <f aca="false">IFERROR(INDEX(02_Parâmetros!$B$14:$B$17,MATCH(C916,02_Parâmetros!$A$14:$A$17,0)),"")</f>
        <v>240</v>
      </c>
      <c r="N916" s="2" t="str">
        <f aca="false">IF(OR(H916="",M916=""),"",IF(H916&lt;=M916,"Sim","Não"))</f>
        <v>Sim</v>
      </c>
    </row>
    <row r="917" customFormat="false" ht="15" hidden="false" customHeight="false" outlineLevel="0" collapsed="false">
      <c r="A917" s="2" t="s">
        <v>954</v>
      </c>
      <c r="B917" s="3" t="n">
        <v>46310</v>
      </c>
      <c r="C917" s="2" t="s">
        <v>15</v>
      </c>
      <c r="D917" s="2" t="s">
        <v>22</v>
      </c>
      <c r="E917" s="2" t="s">
        <v>23</v>
      </c>
      <c r="F917" s="2" t="s">
        <v>32</v>
      </c>
      <c r="G917" s="2" t="s">
        <v>19</v>
      </c>
      <c r="H917" s="2" t="n">
        <v>2.8</v>
      </c>
      <c r="I917" s="2" t="n">
        <v>8.3</v>
      </c>
      <c r="J917" s="2" t="s">
        <v>25</v>
      </c>
      <c r="K917" s="2"/>
      <c r="L917" s="3" t="n">
        <f aca="false">B917-WEEKDAY(B917,2)+1</f>
        <v>46307</v>
      </c>
      <c r="M917" s="4" t="n">
        <f aca="false">IFERROR(INDEX(02_Parâmetros!$B$14:$B$17,MATCH(C917,02_Parâmetros!$A$14:$A$17,0)),"")</f>
        <v>1</v>
      </c>
      <c r="N917" s="2" t="str">
        <f aca="false">IF(OR(H917="",M917=""),"",IF(H917&lt;=M917,"Sim","Não"))</f>
        <v>Não</v>
      </c>
    </row>
    <row r="918" customFormat="false" ht="15" hidden="false" customHeight="false" outlineLevel="0" collapsed="false">
      <c r="A918" s="2" t="s">
        <v>955</v>
      </c>
      <c r="B918" s="3" t="n">
        <v>46310</v>
      </c>
      <c r="C918" s="2" t="s">
        <v>15</v>
      </c>
      <c r="D918" s="2" t="s">
        <v>38</v>
      </c>
      <c r="E918" s="2" t="s">
        <v>39</v>
      </c>
      <c r="F918" s="2" t="s">
        <v>34</v>
      </c>
      <c r="G918" s="2" t="s">
        <v>19</v>
      </c>
      <c r="H918" s="2" t="n">
        <v>0.3</v>
      </c>
      <c r="I918" s="2" t="n">
        <v>7.9</v>
      </c>
      <c r="J918" s="2" t="s">
        <v>20</v>
      </c>
      <c r="K918" s="2"/>
      <c r="L918" s="3" t="n">
        <f aca="false">B918-WEEKDAY(B918,2)+1</f>
        <v>46307</v>
      </c>
      <c r="M918" s="4" t="n">
        <f aca="false">IFERROR(INDEX(02_Parâmetros!$B$14:$B$17,MATCH(C918,02_Parâmetros!$A$14:$A$17,0)),"")</f>
        <v>1</v>
      </c>
      <c r="N918" s="2" t="str">
        <f aca="false">IF(OR(H918="",M918=""),"",IF(H918&lt;=M918,"Sim","Não"))</f>
        <v>Sim</v>
      </c>
    </row>
    <row r="919" customFormat="false" ht="15" hidden="false" customHeight="false" outlineLevel="0" collapsed="false">
      <c r="A919" s="2" t="s">
        <v>956</v>
      </c>
      <c r="B919" s="3" t="n">
        <v>46310</v>
      </c>
      <c r="C919" s="2" t="s">
        <v>41</v>
      </c>
      <c r="D919" s="2" t="s">
        <v>16</v>
      </c>
      <c r="E919" s="2" t="s">
        <v>17</v>
      </c>
      <c r="F919" s="2" t="s">
        <v>18</v>
      </c>
      <c r="G919" s="2" t="s">
        <v>19</v>
      </c>
      <c r="H919" s="2" t="n">
        <v>201.7</v>
      </c>
      <c r="I919" s="2" t="n">
        <v>11.7</v>
      </c>
      <c r="J919" s="2" t="s">
        <v>20</v>
      </c>
      <c r="K919" s="2"/>
      <c r="L919" s="3" t="n">
        <f aca="false">B919-WEEKDAY(B919,2)+1</f>
        <v>46307</v>
      </c>
      <c r="M919" s="4" t="n">
        <f aca="false">IFERROR(INDEX(02_Parâmetros!$B$14:$B$17,MATCH(C919,02_Parâmetros!$A$14:$A$17,0)),"")</f>
        <v>240</v>
      </c>
      <c r="N919" s="2" t="str">
        <f aca="false">IF(OR(H919="",M919=""),"",IF(H919&lt;=M919,"Sim","Não"))</f>
        <v>Sim</v>
      </c>
    </row>
    <row r="920" customFormat="false" ht="15" hidden="false" customHeight="false" outlineLevel="0" collapsed="false">
      <c r="A920" s="2" t="s">
        <v>957</v>
      </c>
      <c r="B920" s="3" t="n">
        <v>46310</v>
      </c>
      <c r="C920" s="2" t="s">
        <v>41</v>
      </c>
      <c r="D920" s="2" t="s">
        <v>38</v>
      </c>
      <c r="E920" s="2" t="s">
        <v>56</v>
      </c>
      <c r="F920" s="2" t="s">
        <v>42</v>
      </c>
      <c r="G920" s="2" t="s">
        <v>19</v>
      </c>
      <c r="H920" s="2" t="n">
        <v>137.4</v>
      </c>
      <c r="I920" s="2" t="n">
        <v>8.5</v>
      </c>
      <c r="J920" s="2" t="s">
        <v>25</v>
      </c>
      <c r="K920" s="2"/>
      <c r="L920" s="3" t="n">
        <f aca="false">B920-WEEKDAY(B920,2)+1</f>
        <v>46307</v>
      </c>
      <c r="M920" s="4" t="n">
        <f aca="false">IFERROR(INDEX(02_Parâmetros!$B$14:$B$17,MATCH(C920,02_Parâmetros!$A$14:$A$17,0)),"")</f>
        <v>240</v>
      </c>
      <c r="N920" s="2" t="str">
        <f aca="false">IF(OR(H920="",M920=""),"",IF(H920&lt;=M920,"Sim","Não"))</f>
        <v>Sim</v>
      </c>
    </row>
    <row r="921" customFormat="false" ht="15" hidden="false" customHeight="false" outlineLevel="0" collapsed="false">
      <c r="A921" s="2" t="s">
        <v>958</v>
      </c>
      <c r="B921" s="3" t="n">
        <v>46310</v>
      </c>
      <c r="C921" s="2" t="s">
        <v>41</v>
      </c>
      <c r="D921" s="2" t="s">
        <v>38</v>
      </c>
      <c r="E921" s="2" t="s">
        <v>47</v>
      </c>
      <c r="F921" s="2" t="s">
        <v>70</v>
      </c>
      <c r="G921" s="2" t="s">
        <v>19</v>
      </c>
      <c r="H921" s="2" t="n">
        <v>73.1</v>
      </c>
      <c r="I921" s="2" t="n">
        <v>8.7</v>
      </c>
      <c r="J921" s="2" t="s">
        <v>25</v>
      </c>
      <c r="K921" s="2"/>
      <c r="L921" s="3" t="n">
        <f aca="false">B921-WEEKDAY(B921,2)+1</f>
        <v>46307</v>
      </c>
      <c r="M921" s="4" t="n">
        <f aca="false">IFERROR(INDEX(02_Parâmetros!$B$14:$B$17,MATCH(C921,02_Parâmetros!$A$14:$A$17,0)),"")</f>
        <v>240</v>
      </c>
      <c r="N921" s="2" t="str">
        <f aca="false">IF(OR(H921="",M921=""),"",IF(H921&lt;=M921,"Sim","Não"))</f>
        <v>Sim</v>
      </c>
    </row>
    <row r="922" customFormat="false" ht="15" hidden="false" customHeight="false" outlineLevel="0" collapsed="false">
      <c r="A922" s="2" t="s">
        <v>959</v>
      </c>
      <c r="B922" s="3" t="n">
        <v>46310</v>
      </c>
      <c r="C922" s="2" t="s">
        <v>15</v>
      </c>
      <c r="D922" s="2" t="s">
        <v>16</v>
      </c>
      <c r="E922" s="2" t="s">
        <v>17</v>
      </c>
      <c r="F922" s="2" t="s">
        <v>32</v>
      </c>
      <c r="G922" s="2" t="s">
        <v>19</v>
      </c>
      <c r="H922" s="2"/>
      <c r="I922" s="2" t="n">
        <v>9.9</v>
      </c>
      <c r="J922" s="2" t="s">
        <v>20</v>
      </c>
      <c r="K922" s="2"/>
      <c r="L922" s="3" t="n">
        <f aca="false">B922-WEEKDAY(B922,2)+1</f>
        <v>46307</v>
      </c>
      <c r="M922" s="4" t="n">
        <f aca="false">IFERROR(INDEX(02_Parâmetros!$B$14:$B$17,MATCH(C922,02_Parâmetros!$A$14:$A$17,0)),"")</f>
        <v>1</v>
      </c>
      <c r="N922" s="2" t="str">
        <f aca="false">IF(OR(H922="",M922=""),"",IF(H922&lt;=M922,"Sim","Não"))</f>
        <v/>
      </c>
    </row>
    <row r="923" customFormat="false" ht="15" hidden="false" customHeight="false" outlineLevel="0" collapsed="false">
      <c r="A923" s="2" t="s">
        <v>960</v>
      </c>
      <c r="B923" s="3" t="n">
        <v>46311</v>
      </c>
      <c r="C923" s="2" t="s">
        <v>44</v>
      </c>
      <c r="D923" s="2" t="s">
        <v>16</v>
      </c>
      <c r="E923" s="2" t="s">
        <v>17</v>
      </c>
      <c r="F923" s="2" t="s">
        <v>24</v>
      </c>
      <c r="G923" s="2" t="s">
        <v>19</v>
      </c>
      <c r="H923" s="2" t="n">
        <v>1</v>
      </c>
      <c r="I923" s="2" t="n">
        <v>8.4</v>
      </c>
      <c r="J923" s="2" t="s">
        <v>25</v>
      </c>
      <c r="K923" s="2"/>
      <c r="L923" s="3" t="n">
        <f aca="false">B923-WEEKDAY(B923,2)+1</f>
        <v>46307</v>
      </c>
      <c r="M923" s="4" t="n">
        <f aca="false">IFERROR(INDEX(02_Parâmetros!$B$14:$B$17,MATCH(C923,02_Parâmetros!$A$14:$A$17,0)),"")</f>
        <v>2</v>
      </c>
      <c r="N923" s="2" t="str">
        <f aca="false">IF(OR(H923="",M923=""),"",IF(H923&lt;=M923,"Sim","Não"))</f>
        <v>Sim</v>
      </c>
    </row>
    <row r="924" customFormat="false" ht="15" hidden="false" customHeight="false" outlineLevel="0" collapsed="false">
      <c r="A924" s="2" t="s">
        <v>961</v>
      </c>
      <c r="B924" s="3" t="n">
        <v>46311</v>
      </c>
      <c r="C924" s="2" t="s">
        <v>27</v>
      </c>
      <c r="D924" s="2" t="s">
        <v>16</v>
      </c>
      <c r="E924" s="2" t="s">
        <v>31</v>
      </c>
      <c r="F924" s="2" t="s">
        <v>24</v>
      </c>
      <c r="G924" s="2" t="s">
        <v>19</v>
      </c>
      <c r="H924" s="2" t="n">
        <v>3.4</v>
      </c>
      <c r="I924" s="2" t="n">
        <v>11</v>
      </c>
      <c r="J924" s="2" t="s">
        <v>20</v>
      </c>
      <c r="K924" s="2"/>
      <c r="L924" s="3" t="n">
        <f aca="false">B924-WEEKDAY(B924,2)+1</f>
        <v>46307</v>
      </c>
      <c r="M924" s="4" t="n">
        <f aca="false">IFERROR(INDEX(02_Parâmetros!$B$14:$B$17,MATCH(C924,02_Parâmetros!$A$14:$A$17,0)),"")</f>
        <v>10</v>
      </c>
      <c r="N924" s="2" t="str">
        <f aca="false">IF(OR(H924="",M924=""),"",IF(H924&lt;=M924,"Sim","Não"))</f>
        <v>Sim</v>
      </c>
    </row>
    <row r="925" customFormat="false" ht="15" hidden="false" customHeight="false" outlineLevel="0" collapsed="false">
      <c r="A925" s="2" t="s">
        <v>962</v>
      </c>
      <c r="B925" s="3" t="n">
        <v>46311</v>
      </c>
      <c r="C925" s="2" t="s">
        <v>41</v>
      </c>
      <c r="D925" s="2" t="s">
        <v>16</v>
      </c>
      <c r="E925" s="2" t="s">
        <v>36</v>
      </c>
      <c r="F925" s="2" t="s">
        <v>70</v>
      </c>
      <c r="G925" s="2" t="s">
        <v>19</v>
      </c>
      <c r="H925" s="2" t="n">
        <v>529.4</v>
      </c>
      <c r="I925" s="2" t="n">
        <v>14.2</v>
      </c>
      <c r="J925" s="2" t="s">
        <v>20</v>
      </c>
      <c r="K925" s="2"/>
      <c r="L925" s="3" t="n">
        <f aca="false">B925-WEEKDAY(B925,2)+1</f>
        <v>46307</v>
      </c>
      <c r="M925" s="4" t="n">
        <f aca="false">IFERROR(INDEX(02_Parâmetros!$B$14:$B$17,MATCH(C925,02_Parâmetros!$A$14:$A$17,0)),"")</f>
        <v>240</v>
      </c>
      <c r="N925" s="2" t="str">
        <f aca="false">IF(OR(H925="",M925=""),"",IF(H925&lt;=M925,"Sim","Não"))</f>
        <v>Não</v>
      </c>
    </row>
    <row r="926" customFormat="false" ht="15" hidden="false" customHeight="false" outlineLevel="0" collapsed="false">
      <c r="A926" s="2" t="s">
        <v>963</v>
      </c>
      <c r="B926" s="3" t="n">
        <v>46311</v>
      </c>
      <c r="C926" s="2" t="s">
        <v>27</v>
      </c>
      <c r="D926" s="2" t="s">
        <v>22</v>
      </c>
      <c r="E926" s="2" t="s">
        <v>23</v>
      </c>
      <c r="F926" s="2" t="s">
        <v>34</v>
      </c>
      <c r="G926" s="2" t="s">
        <v>19</v>
      </c>
      <c r="H926" s="2" t="n">
        <v>2.6</v>
      </c>
      <c r="I926" s="2" t="n">
        <v>5.9</v>
      </c>
      <c r="J926" s="2" t="s">
        <v>20</v>
      </c>
      <c r="K926" s="2"/>
      <c r="L926" s="3" t="n">
        <f aca="false">B926-WEEKDAY(B926,2)+1</f>
        <v>46307</v>
      </c>
      <c r="M926" s="4" t="n">
        <f aca="false">IFERROR(INDEX(02_Parâmetros!$B$14:$B$17,MATCH(C926,02_Parâmetros!$A$14:$A$17,0)),"")</f>
        <v>10</v>
      </c>
      <c r="N926" s="2" t="str">
        <f aca="false">IF(OR(H926="",M926=""),"",IF(H926&lt;=M926,"Sim","Não"))</f>
        <v>Sim</v>
      </c>
    </row>
    <row r="927" customFormat="false" ht="15" hidden="false" customHeight="false" outlineLevel="0" collapsed="false">
      <c r="A927" s="2" t="s">
        <v>964</v>
      </c>
      <c r="B927" s="3" t="n">
        <v>46311</v>
      </c>
      <c r="C927" s="2" t="s">
        <v>15</v>
      </c>
      <c r="D927" s="2" t="s">
        <v>38</v>
      </c>
      <c r="E927" s="2" t="s">
        <v>39</v>
      </c>
      <c r="F927" s="2" t="s">
        <v>18</v>
      </c>
      <c r="G927" s="2" t="s">
        <v>19</v>
      </c>
      <c r="H927" s="2" t="n">
        <v>0.4</v>
      </c>
      <c r="I927" s="2" t="n">
        <v>13.8</v>
      </c>
      <c r="J927" s="2" t="s">
        <v>25</v>
      </c>
      <c r="K927" s="2" t="n">
        <v>5</v>
      </c>
      <c r="L927" s="3" t="n">
        <f aca="false">B927-WEEKDAY(B927,2)+1</f>
        <v>46307</v>
      </c>
      <c r="M927" s="4" t="n">
        <f aca="false">IFERROR(INDEX(02_Parâmetros!$B$14:$B$17,MATCH(C927,02_Parâmetros!$A$14:$A$17,0)),"")</f>
        <v>1</v>
      </c>
      <c r="N927" s="2" t="str">
        <f aca="false">IF(OR(H927="",M927=""),"",IF(H927&lt;=M927,"Sim","Não"))</f>
        <v>Sim</v>
      </c>
    </row>
    <row r="928" customFormat="false" ht="15" hidden="false" customHeight="false" outlineLevel="0" collapsed="false">
      <c r="A928" s="2" t="s">
        <v>965</v>
      </c>
      <c r="B928" s="3" t="n">
        <v>46311</v>
      </c>
      <c r="C928" s="2" t="s">
        <v>41</v>
      </c>
      <c r="D928" s="2" t="s">
        <v>38</v>
      </c>
      <c r="E928" s="2" t="s">
        <v>39</v>
      </c>
      <c r="F928" s="2" t="s">
        <v>32</v>
      </c>
      <c r="G928" s="2" t="s">
        <v>19</v>
      </c>
      <c r="H928" s="2" t="n">
        <v>154.2</v>
      </c>
      <c r="I928" s="2" t="n">
        <v>5.9</v>
      </c>
      <c r="J928" s="2" t="s">
        <v>20</v>
      </c>
      <c r="K928" s="2"/>
      <c r="L928" s="3" t="n">
        <f aca="false">B928-WEEKDAY(B928,2)+1</f>
        <v>46307</v>
      </c>
      <c r="M928" s="4" t="n">
        <f aca="false">IFERROR(INDEX(02_Parâmetros!$B$14:$B$17,MATCH(C928,02_Parâmetros!$A$14:$A$17,0)),"")</f>
        <v>240</v>
      </c>
      <c r="N928" s="2" t="str">
        <f aca="false">IF(OR(H928="",M928=""),"",IF(H928&lt;=M928,"Sim","Não"))</f>
        <v>Sim</v>
      </c>
    </row>
    <row r="929" customFormat="false" ht="15" hidden="false" customHeight="false" outlineLevel="0" collapsed="false">
      <c r="A929" s="2" t="s">
        <v>966</v>
      </c>
      <c r="B929" s="3" t="n">
        <v>46311</v>
      </c>
      <c r="C929" s="2" t="s">
        <v>44</v>
      </c>
      <c r="D929" s="2" t="s">
        <v>22</v>
      </c>
      <c r="E929" s="2" t="s">
        <v>23</v>
      </c>
      <c r="F929" s="2" t="s">
        <v>42</v>
      </c>
      <c r="G929" s="2" t="s">
        <v>19</v>
      </c>
      <c r="H929" s="2" t="n">
        <v>1</v>
      </c>
      <c r="I929" s="2" t="n">
        <v>9.2</v>
      </c>
      <c r="J929" s="2" t="s">
        <v>20</v>
      </c>
      <c r="K929" s="2"/>
      <c r="L929" s="3" t="n">
        <f aca="false">B929-WEEKDAY(B929,2)+1</f>
        <v>46307</v>
      </c>
      <c r="M929" s="4" t="n">
        <f aca="false">IFERROR(INDEX(02_Parâmetros!$B$14:$B$17,MATCH(C929,02_Parâmetros!$A$14:$A$17,0)),"")</f>
        <v>2</v>
      </c>
      <c r="N929" s="2" t="str">
        <f aca="false">IF(OR(H929="",M929=""),"",IF(H929&lt;=M929,"Sim","Não"))</f>
        <v>Sim</v>
      </c>
    </row>
    <row r="930" customFormat="false" ht="15" hidden="false" customHeight="false" outlineLevel="0" collapsed="false">
      <c r="A930" s="2" t="s">
        <v>967</v>
      </c>
      <c r="B930" s="3" t="n">
        <v>46311</v>
      </c>
      <c r="C930" s="2" t="s">
        <v>44</v>
      </c>
      <c r="D930" s="2" t="s">
        <v>38</v>
      </c>
      <c r="E930" s="2" t="s">
        <v>47</v>
      </c>
      <c r="F930" s="2" t="s">
        <v>18</v>
      </c>
      <c r="G930" s="2" t="s">
        <v>19</v>
      </c>
      <c r="H930" s="2" t="n">
        <v>1.2</v>
      </c>
      <c r="I930" s="2" t="n">
        <v>11.8</v>
      </c>
      <c r="J930" s="2" t="s">
        <v>20</v>
      </c>
      <c r="K930" s="2" t="n">
        <v>3</v>
      </c>
      <c r="L930" s="3" t="n">
        <f aca="false">B930-WEEKDAY(B930,2)+1</f>
        <v>46307</v>
      </c>
      <c r="M930" s="4" t="n">
        <f aca="false">IFERROR(INDEX(02_Parâmetros!$B$14:$B$17,MATCH(C930,02_Parâmetros!$A$14:$A$17,0)),"")</f>
        <v>2</v>
      </c>
      <c r="N930" s="2" t="str">
        <f aca="false">IF(OR(H930="",M930=""),"",IF(H930&lt;=M930,"Sim","Não"))</f>
        <v>Sim</v>
      </c>
    </row>
    <row r="931" customFormat="false" ht="15" hidden="false" customHeight="false" outlineLevel="0" collapsed="false">
      <c r="A931" s="2" t="s">
        <v>968</v>
      </c>
      <c r="B931" s="3" t="n">
        <v>46311</v>
      </c>
      <c r="C931" s="2" t="s">
        <v>44</v>
      </c>
      <c r="D931" s="2" t="s">
        <v>16</v>
      </c>
      <c r="E931" s="2" t="s">
        <v>17</v>
      </c>
      <c r="F931" s="2" t="s">
        <v>18</v>
      </c>
      <c r="G931" s="2" t="s">
        <v>19</v>
      </c>
      <c r="H931" s="2" t="n">
        <v>0.5</v>
      </c>
      <c r="I931" s="2" t="n">
        <v>9.1</v>
      </c>
      <c r="J931" s="2" t="s">
        <v>20</v>
      </c>
      <c r="K931" s="2"/>
      <c r="L931" s="3" t="n">
        <f aca="false">B931-WEEKDAY(B931,2)+1</f>
        <v>46307</v>
      </c>
      <c r="M931" s="4" t="n">
        <f aca="false">IFERROR(INDEX(02_Parâmetros!$B$14:$B$17,MATCH(C931,02_Parâmetros!$A$14:$A$17,0)),"")</f>
        <v>2</v>
      </c>
      <c r="N931" s="2" t="str">
        <f aca="false">IF(OR(H931="",M931=""),"",IF(H931&lt;=M931,"Sim","Não"))</f>
        <v>Sim</v>
      </c>
    </row>
    <row r="932" customFormat="false" ht="15" hidden="false" customHeight="false" outlineLevel="0" collapsed="false">
      <c r="A932" s="2" t="s">
        <v>969</v>
      </c>
      <c r="B932" s="3" t="n">
        <v>46311</v>
      </c>
      <c r="C932" s="2" t="s">
        <v>41</v>
      </c>
      <c r="D932" s="2" t="s">
        <v>16</v>
      </c>
      <c r="E932" s="2" t="s">
        <v>36</v>
      </c>
      <c r="F932" s="2" t="s">
        <v>70</v>
      </c>
      <c r="G932" s="2" t="s">
        <v>19</v>
      </c>
      <c r="H932" s="2" t="n">
        <v>198.3</v>
      </c>
      <c r="I932" s="2" t="n">
        <v>10.8</v>
      </c>
      <c r="J932" s="2" t="s">
        <v>20</v>
      </c>
      <c r="K932" s="2"/>
      <c r="L932" s="3" t="n">
        <f aca="false">B932-WEEKDAY(B932,2)+1</f>
        <v>46307</v>
      </c>
      <c r="M932" s="4" t="n">
        <f aca="false">IFERROR(INDEX(02_Parâmetros!$B$14:$B$17,MATCH(C932,02_Parâmetros!$A$14:$A$17,0)),"")</f>
        <v>240</v>
      </c>
      <c r="N932" s="2" t="str">
        <f aca="false">IF(OR(H932="",M932=""),"",IF(H932&lt;=M932,"Sim","Não"))</f>
        <v>Sim</v>
      </c>
    </row>
    <row r="933" customFormat="false" ht="15" hidden="false" customHeight="false" outlineLevel="0" collapsed="false">
      <c r="A933" s="2" t="s">
        <v>970</v>
      </c>
      <c r="B933" s="3" t="n">
        <v>46311</v>
      </c>
      <c r="C933" s="2" t="s">
        <v>41</v>
      </c>
      <c r="D933" s="2" t="s">
        <v>22</v>
      </c>
      <c r="E933" s="2" t="s">
        <v>23</v>
      </c>
      <c r="F933" s="2" t="s">
        <v>42</v>
      </c>
      <c r="G933" s="2" t="s">
        <v>19</v>
      </c>
      <c r="H933" s="2" t="n">
        <v>439</v>
      </c>
      <c r="I933" s="2" t="n">
        <v>9.6</v>
      </c>
      <c r="J933" s="2" t="s">
        <v>25</v>
      </c>
      <c r="K933" s="2"/>
      <c r="L933" s="3" t="n">
        <f aca="false">B933-WEEKDAY(B933,2)+1</f>
        <v>46307</v>
      </c>
      <c r="M933" s="4" t="n">
        <f aca="false">IFERROR(INDEX(02_Parâmetros!$B$14:$B$17,MATCH(C933,02_Parâmetros!$A$14:$A$17,0)),"")</f>
        <v>240</v>
      </c>
      <c r="N933" s="2" t="str">
        <f aca="false">IF(OR(H933="",M933=""),"",IF(H933&lt;=M933,"Sim","Não"))</f>
        <v>Não</v>
      </c>
    </row>
    <row r="934" customFormat="false" ht="15" hidden="false" customHeight="false" outlineLevel="0" collapsed="false">
      <c r="A934" s="2" t="s">
        <v>971</v>
      </c>
      <c r="B934" s="3" t="n">
        <v>46311</v>
      </c>
      <c r="C934" s="2" t="s">
        <v>41</v>
      </c>
      <c r="D934" s="2" t="s">
        <v>38</v>
      </c>
      <c r="E934" s="2" t="s">
        <v>39</v>
      </c>
      <c r="F934" s="2" t="s">
        <v>34</v>
      </c>
      <c r="G934" s="2" t="s">
        <v>19</v>
      </c>
      <c r="H934" s="2" t="n">
        <v>66.8</v>
      </c>
      <c r="I934" s="2" t="n">
        <v>8.7</v>
      </c>
      <c r="J934" s="2" t="s">
        <v>20</v>
      </c>
      <c r="K934" s="2"/>
      <c r="L934" s="3" t="n">
        <f aca="false">B934-WEEKDAY(B934,2)+1</f>
        <v>46307</v>
      </c>
      <c r="M934" s="4" t="n">
        <f aca="false">IFERROR(INDEX(02_Parâmetros!$B$14:$B$17,MATCH(C934,02_Parâmetros!$A$14:$A$17,0)),"")</f>
        <v>240</v>
      </c>
      <c r="N934" s="2" t="str">
        <f aca="false">IF(OR(H934="",M934=""),"",IF(H934&lt;=M934,"Sim","Não"))</f>
        <v>Sim</v>
      </c>
    </row>
    <row r="935" customFormat="false" ht="15" hidden="false" customHeight="false" outlineLevel="0" collapsed="false">
      <c r="A935" s="2" t="s">
        <v>972</v>
      </c>
      <c r="B935" s="3" t="n">
        <v>46311</v>
      </c>
      <c r="C935" s="2" t="s">
        <v>27</v>
      </c>
      <c r="D935" s="2" t="s">
        <v>22</v>
      </c>
      <c r="E935" s="2" t="s">
        <v>23</v>
      </c>
      <c r="F935" s="2" t="s">
        <v>42</v>
      </c>
      <c r="G935" s="2" t="s">
        <v>19</v>
      </c>
      <c r="H935" s="2" t="n">
        <v>17.7</v>
      </c>
      <c r="I935" s="2" t="n">
        <v>6.5</v>
      </c>
      <c r="J935" s="2" t="s">
        <v>25</v>
      </c>
      <c r="K935" s="2"/>
      <c r="L935" s="3" t="n">
        <f aca="false">B935-WEEKDAY(B935,2)+1</f>
        <v>46307</v>
      </c>
      <c r="M935" s="4" t="n">
        <f aca="false">IFERROR(INDEX(02_Parâmetros!$B$14:$B$17,MATCH(C935,02_Parâmetros!$A$14:$A$17,0)),"")</f>
        <v>10</v>
      </c>
      <c r="N935" s="2" t="str">
        <f aca="false">IF(OR(H935="",M935=""),"",IF(H935&lt;=M935,"Sim","Não"))</f>
        <v>Não</v>
      </c>
    </row>
    <row r="936" customFormat="false" ht="15" hidden="false" customHeight="false" outlineLevel="0" collapsed="false">
      <c r="A936" s="2" t="s">
        <v>973</v>
      </c>
      <c r="B936" s="3" t="n">
        <v>46311</v>
      </c>
      <c r="C936" s="2" t="s">
        <v>41</v>
      </c>
      <c r="D936" s="2" t="s">
        <v>22</v>
      </c>
      <c r="E936" s="2" t="s">
        <v>23</v>
      </c>
      <c r="F936" s="2" t="s">
        <v>70</v>
      </c>
      <c r="G936" s="2" t="s">
        <v>19</v>
      </c>
      <c r="H936" s="2" t="n">
        <v>287.9</v>
      </c>
      <c r="I936" s="2" t="n">
        <v>9.2</v>
      </c>
      <c r="J936" s="2" t="s">
        <v>20</v>
      </c>
      <c r="K936" s="2" t="n">
        <v>3</v>
      </c>
      <c r="L936" s="3" t="n">
        <f aca="false">B936-WEEKDAY(B936,2)+1</f>
        <v>46307</v>
      </c>
      <c r="M936" s="4" t="n">
        <f aca="false">IFERROR(INDEX(02_Parâmetros!$B$14:$B$17,MATCH(C936,02_Parâmetros!$A$14:$A$17,0)),"")</f>
        <v>240</v>
      </c>
      <c r="N936" s="2" t="str">
        <f aca="false">IF(OR(H936="",M936=""),"",IF(H936&lt;=M936,"Sim","Não"))</f>
        <v>Não</v>
      </c>
    </row>
    <row r="937" customFormat="false" ht="15" hidden="false" customHeight="false" outlineLevel="0" collapsed="false">
      <c r="A937" s="2" t="s">
        <v>974</v>
      </c>
      <c r="B937" s="3" t="n">
        <v>46311</v>
      </c>
      <c r="C937" s="2" t="s">
        <v>15</v>
      </c>
      <c r="D937" s="2" t="s">
        <v>38</v>
      </c>
      <c r="E937" s="2" t="s">
        <v>47</v>
      </c>
      <c r="F937" s="2" t="s">
        <v>70</v>
      </c>
      <c r="G937" s="2" t="s">
        <v>19</v>
      </c>
      <c r="H937" s="2" t="n">
        <v>1.7</v>
      </c>
      <c r="I937" s="2" t="n">
        <v>13</v>
      </c>
      <c r="J937" s="2" t="s">
        <v>20</v>
      </c>
      <c r="K937" s="2"/>
      <c r="L937" s="3" t="n">
        <f aca="false">B937-WEEKDAY(B937,2)+1</f>
        <v>46307</v>
      </c>
      <c r="M937" s="4" t="n">
        <f aca="false">IFERROR(INDEX(02_Parâmetros!$B$14:$B$17,MATCH(C937,02_Parâmetros!$A$14:$A$17,0)),"")</f>
        <v>1</v>
      </c>
      <c r="N937" s="2" t="str">
        <f aca="false">IF(OR(H937="",M937=""),"",IF(H937&lt;=M937,"Sim","Não"))</f>
        <v>Não</v>
      </c>
    </row>
    <row r="938" customFormat="false" ht="15" hidden="false" customHeight="false" outlineLevel="0" collapsed="false">
      <c r="A938" s="2" t="s">
        <v>975</v>
      </c>
      <c r="B938" s="3" t="n">
        <v>46311</v>
      </c>
      <c r="C938" s="2" t="s">
        <v>41</v>
      </c>
      <c r="D938" s="2" t="s">
        <v>38</v>
      </c>
      <c r="E938" s="2" t="s">
        <v>47</v>
      </c>
      <c r="F938" s="2" t="s">
        <v>24</v>
      </c>
      <c r="G938" s="2" t="s">
        <v>19</v>
      </c>
      <c r="H938" s="2" t="n">
        <v>187.5</v>
      </c>
      <c r="I938" s="2" t="n">
        <v>11.8</v>
      </c>
      <c r="J938" s="2" t="s">
        <v>20</v>
      </c>
      <c r="K938" s="2"/>
      <c r="L938" s="3" t="n">
        <f aca="false">B938-WEEKDAY(B938,2)+1</f>
        <v>46307</v>
      </c>
      <c r="M938" s="4" t="n">
        <f aca="false">IFERROR(INDEX(02_Parâmetros!$B$14:$B$17,MATCH(C938,02_Parâmetros!$A$14:$A$17,0)),"")</f>
        <v>240</v>
      </c>
      <c r="N938" s="2" t="str">
        <f aca="false">IF(OR(H938="",M938=""),"",IF(H938&lt;=M938,"Sim","Não"))</f>
        <v>Sim</v>
      </c>
    </row>
    <row r="939" customFormat="false" ht="15" hidden="false" customHeight="false" outlineLevel="0" collapsed="false">
      <c r="A939" s="2" t="s">
        <v>976</v>
      </c>
      <c r="B939" s="3" t="n">
        <v>46311</v>
      </c>
      <c r="C939" s="2" t="s">
        <v>44</v>
      </c>
      <c r="D939" s="2" t="s">
        <v>22</v>
      </c>
      <c r="E939" s="2" t="s">
        <v>23</v>
      </c>
      <c r="F939" s="2" t="s">
        <v>32</v>
      </c>
      <c r="G939" s="2" t="s">
        <v>19</v>
      </c>
      <c r="H939" s="2" t="n">
        <v>5.2</v>
      </c>
      <c r="I939" s="2" t="n">
        <v>4.9</v>
      </c>
      <c r="J939" s="2" t="s">
        <v>20</v>
      </c>
      <c r="K939" s="2" t="n">
        <v>4</v>
      </c>
      <c r="L939" s="3" t="n">
        <f aca="false">B939-WEEKDAY(B939,2)+1</f>
        <v>46307</v>
      </c>
      <c r="M939" s="4" t="n">
        <f aca="false">IFERROR(INDEX(02_Parâmetros!$B$14:$B$17,MATCH(C939,02_Parâmetros!$A$14:$A$17,0)),"")</f>
        <v>2</v>
      </c>
      <c r="N939" s="2" t="str">
        <f aca="false">IF(OR(H939="",M939=""),"",IF(H939&lt;=M939,"Sim","Não"))</f>
        <v>Não</v>
      </c>
    </row>
    <row r="940" customFormat="false" ht="15" hidden="false" customHeight="false" outlineLevel="0" collapsed="false">
      <c r="A940" s="2" t="s">
        <v>977</v>
      </c>
      <c r="B940" s="3" t="n">
        <v>46311</v>
      </c>
      <c r="C940" s="2" t="s">
        <v>41</v>
      </c>
      <c r="D940" s="2" t="s">
        <v>16</v>
      </c>
      <c r="E940" s="2" t="s">
        <v>36</v>
      </c>
      <c r="F940" s="2" t="s">
        <v>70</v>
      </c>
      <c r="G940" s="2" t="s">
        <v>19</v>
      </c>
      <c r="H940" s="2" t="n">
        <v>623.3</v>
      </c>
      <c r="I940" s="2" t="n">
        <v>10.8</v>
      </c>
      <c r="J940" s="2" t="s">
        <v>20</v>
      </c>
      <c r="K940" s="2" t="n">
        <v>5</v>
      </c>
      <c r="L940" s="3" t="n">
        <f aca="false">B940-WEEKDAY(B940,2)+1</f>
        <v>46307</v>
      </c>
      <c r="M940" s="4" t="n">
        <f aca="false">IFERROR(INDEX(02_Parâmetros!$B$14:$B$17,MATCH(C940,02_Parâmetros!$A$14:$A$17,0)),"")</f>
        <v>240</v>
      </c>
      <c r="N940" s="2" t="str">
        <f aca="false">IF(OR(H940="",M940=""),"",IF(H940&lt;=M940,"Sim","Não"))</f>
        <v>Não</v>
      </c>
    </row>
    <row r="941" customFormat="false" ht="15" hidden="false" customHeight="false" outlineLevel="0" collapsed="false">
      <c r="A941" s="2" t="s">
        <v>978</v>
      </c>
      <c r="B941" s="3" t="n">
        <v>46311</v>
      </c>
      <c r="C941" s="2" t="s">
        <v>27</v>
      </c>
      <c r="D941" s="2" t="s">
        <v>38</v>
      </c>
      <c r="E941" s="2" t="s">
        <v>56</v>
      </c>
      <c r="F941" s="2" t="s">
        <v>18</v>
      </c>
      <c r="G941" s="2" t="s">
        <v>19</v>
      </c>
      <c r="H941" s="2" t="n">
        <v>4.6</v>
      </c>
      <c r="I941" s="2" t="n">
        <v>9.8</v>
      </c>
      <c r="J941" s="2" t="s">
        <v>25</v>
      </c>
      <c r="K941" s="2"/>
      <c r="L941" s="3" t="n">
        <f aca="false">B941-WEEKDAY(B941,2)+1</f>
        <v>46307</v>
      </c>
      <c r="M941" s="4" t="n">
        <f aca="false">IFERROR(INDEX(02_Parâmetros!$B$14:$B$17,MATCH(C941,02_Parâmetros!$A$14:$A$17,0)),"")</f>
        <v>10</v>
      </c>
      <c r="N941" s="2" t="str">
        <f aca="false">IF(OR(H941="",M941=""),"",IF(H941&lt;=M941,"Sim","Não"))</f>
        <v>Sim</v>
      </c>
    </row>
    <row r="942" customFormat="false" ht="15" hidden="false" customHeight="false" outlineLevel="0" collapsed="false">
      <c r="A942" s="2" t="s">
        <v>979</v>
      </c>
      <c r="B942" s="3" t="n">
        <v>46311</v>
      </c>
      <c r="C942" s="2" t="s">
        <v>41</v>
      </c>
      <c r="D942" s="2" t="s">
        <v>16</v>
      </c>
      <c r="E942" s="2" t="s">
        <v>17</v>
      </c>
      <c r="F942" s="2" t="s">
        <v>18</v>
      </c>
      <c r="G942" s="2" t="s">
        <v>19</v>
      </c>
      <c r="H942" s="2" t="n">
        <v>587.3</v>
      </c>
      <c r="I942" s="2" t="n">
        <v>13.7</v>
      </c>
      <c r="J942" s="2" t="s">
        <v>20</v>
      </c>
      <c r="K942" s="2"/>
      <c r="L942" s="3" t="n">
        <f aca="false">B942-WEEKDAY(B942,2)+1</f>
        <v>46307</v>
      </c>
      <c r="M942" s="4" t="n">
        <f aca="false">IFERROR(INDEX(02_Parâmetros!$B$14:$B$17,MATCH(C942,02_Parâmetros!$A$14:$A$17,0)),"")</f>
        <v>240</v>
      </c>
      <c r="N942" s="2" t="str">
        <f aca="false">IF(OR(H942="",M942=""),"",IF(H942&lt;=M942,"Sim","Não"))</f>
        <v>Não</v>
      </c>
    </row>
    <row r="943" customFormat="false" ht="15" hidden="false" customHeight="false" outlineLevel="0" collapsed="false">
      <c r="A943" s="2" t="s">
        <v>980</v>
      </c>
      <c r="B943" s="3" t="n">
        <v>46311</v>
      </c>
      <c r="C943" s="2" t="s">
        <v>27</v>
      </c>
      <c r="D943" s="2" t="s">
        <v>16</v>
      </c>
      <c r="E943" s="2" t="s">
        <v>17</v>
      </c>
      <c r="F943" s="2" t="s">
        <v>42</v>
      </c>
      <c r="G943" s="2" t="s">
        <v>19</v>
      </c>
      <c r="H943" s="2" t="n">
        <v>7.7</v>
      </c>
      <c r="I943" s="2" t="n">
        <v>7.6</v>
      </c>
      <c r="J943" s="2" t="s">
        <v>20</v>
      </c>
      <c r="K943" s="2"/>
      <c r="L943" s="3" t="n">
        <f aca="false">B943-WEEKDAY(B943,2)+1</f>
        <v>46307</v>
      </c>
      <c r="M943" s="4" t="n">
        <f aca="false">IFERROR(INDEX(02_Parâmetros!$B$14:$B$17,MATCH(C943,02_Parâmetros!$A$14:$A$17,0)),"")</f>
        <v>10</v>
      </c>
      <c r="N943" s="2" t="str">
        <f aca="false">IF(OR(H943="",M943=""),"",IF(H943&lt;=M943,"Sim","Não"))</f>
        <v>Sim</v>
      </c>
    </row>
    <row r="944" customFormat="false" ht="15" hidden="false" customHeight="false" outlineLevel="0" collapsed="false">
      <c r="A944" s="2" t="s">
        <v>981</v>
      </c>
      <c r="B944" s="3" t="n">
        <v>46311</v>
      </c>
      <c r="C944" s="2" t="s">
        <v>27</v>
      </c>
      <c r="D944" s="2" t="s">
        <v>38</v>
      </c>
      <c r="E944" s="2" t="s">
        <v>56</v>
      </c>
      <c r="F944" s="2" t="s">
        <v>42</v>
      </c>
      <c r="G944" s="2" t="s">
        <v>19</v>
      </c>
      <c r="H944" s="2" t="n">
        <v>5.8</v>
      </c>
      <c r="I944" s="2" t="n">
        <v>7.1</v>
      </c>
      <c r="J944" s="2" t="s">
        <v>20</v>
      </c>
      <c r="K944" s="2"/>
      <c r="L944" s="3" t="n">
        <f aca="false">B944-WEEKDAY(B944,2)+1</f>
        <v>46307</v>
      </c>
      <c r="M944" s="4" t="n">
        <f aca="false">IFERROR(INDEX(02_Parâmetros!$B$14:$B$17,MATCH(C944,02_Parâmetros!$A$14:$A$17,0)),"")</f>
        <v>10</v>
      </c>
      <c r="N944" s="2" t="str">
        <f aca="false">IF(OR(H944="",M944=""),"",IF(H944&lt;=M944,"Sim","Não"))</f>
        <v>Sim</v>
      </c>
    </row>
    <row r="945" customFormat="false" ht="15" hidden="false" customHeight="false" outlineLevel="0" collapsed="false">
      <c r="A945" s="2" t="s">
        <v>982</v>
      </c>
      <c r="B945" s="3" t="n">
        <v>46311</v>
      </c>
      <c r="C945" s="2" t="s">
        <v>27</v>
      </c>
      <c r="D945" s="2" t="s">
        <v>38</v>
      </c>
      <c r="E945" s="2" t="s">
        <v>39</v>
      </c>
      <c r="F945" s="2" t="s">
        <v>24</v>
      </c>
      <c r="G945" s="2" t="s">
        <v>19</v>
      </c>
      <c r="H945" s="2" t="n">
        <v>5.6</v>
      </c>
      <c r="I945" s="2" t="n">
        <v>9.6</v>
      </c>
      <c r="J945" s="2" t="s">
        <v>20</v>
      </c>
      <c r="K945" s="2"/>
      <c r="L945" s="3" t="n">
        <f aca="false">B945-WEEKDAY(B945,2)+1</f>
        <v>46307</v>
      </c>
      <c r="M945" s="4" t="n">
        <f aca="false">IFERROR(INDEX(02_Parâmetros!$B$14:$B$17,MATCH(C945,02_Parâmetros!$A$14:$A$17,0)),"")</f>
        <v>10</v>
      </c>
      <c r="N945" s="2" t="str">
        <f aca="false">IF(OR(H945="",M945=""),"",IF(H945&lt;=M945,"Sim","Não"))</f>
        <v>Sim</v>
      </c>
    </row>
    <row r="946" customFormat="false" ht="15" hidden="false" customHeight="false" outlineLevel="0" collapsed="false">
      <c r="A946" s="2" t="s">
        <v>983</v>
      </c>
      <c r="B946" s="3" t="n">
        <v>46311</v>
      </c>
      <c r="C946" s="2" t="s">
        <v>27</v>
      </c>
      <c r="D946" s="2" t="s">
        <v>38</v>
      </c>
      <c r="E946" s="2" t="s">
        <v>39</v>
      </c>
      <c r="F946" s="2" t="s">
        <v>32</v>
      </c>
      <c r="G946" s="2" t="s">
        <v>19</v>
      </c>
      <c r="H946" s="2" t="n">
        <v>5.2</v>
      </c>
      <c r="I946" s="2" t="n">
        <v>6.1</v>
      </c>
      <c r="J946" s="2" t="s">
        <v>20</v>
      </c>
      <c r="K946" s="2" t="n">
        <v>4</v>
      </c>
      <c r="L946" s="3" t="n">
        <f aca="false">B946-WEEKDAY(B946,2)+1</f>
        <v>46307</v>
      </c>
      <c r="M946" s="4" t="n">
        <f aca="false">IFERROR(INDEX(02_Parâmetros!$B$14:$B$17,MATCH(C946,02_Parâmetros!$A$14:$A$17,0)),"")</f>
        <v>10</v>
      </c>
      <c r="N946" s="2" t="str">
        <f aca="false">IF(OR(H946="",M946=""),"",IF(H946&lt;=M946,"Sim","Não"))</f>
        <v>Sim</v>
      </c>
    </row>
    <row r="947" customFormat="false" ht="15" hidden="false" customHeight="false" outlineLevel="0" collapsed="false">
      <c r="A947" s="2" t="s">
        <v>984</v>
      </c>
      <c r="B947" s="3" t="n">
        <v>46311</v>
      </c>
      <c r="C947" s="2" t="s">
        <v>41</v>
      </c>
      <c r="D947" s="2" t="s">
        <v>16</v>
      </c>
      <c r="E947" s="2" t="s">
        <v>17</v>
      </c>
      <c r="F947" s="2" t="s">
        <v>32</v>
      </c>
      <c r="G947" s="2" t="s">
        <v>19</v>
      </c>
      <c r="H947" s="2" t="n">
        <v>112.1</v>
      </c>
      <c r="I947" s="2" t="n">
        <v>9.6</v>
      </c>
      <c r="J947" s="2" t="s">
        <v>20</v>
      </c>
      <c r="K947" s="2"/>
      <c r="L947" s="3" t="n">
        <f aca="false">B947-WEEKDAY(B947,2)+1</f>
        <v>46307</v>
      </c>
      <c r="M947" s="4" t="n">
        <f aca="false">IFERROR(INDEX(02_Parâmetros!$B$14:$B$17,MATCH(C947,02_Parâmetros!$A$14:$A$17,0)),"")</f>
        <v>240</v>
      </c>
      <c r="N947" s="2" t="str">
        <f aca="false">IF(OR(H947="",M947=""),"",IF(H947&lt;=M947,"Sim","Não"))</f>
        <v>Sim</v>
      </c>
    </row>
    <row r="948" customFormat="false" ht="15" hidden="false" customHeight="false" outlineLevel="0" collapsed="false">
      <c r="A948" s="2" t="s">
        <v>985</v>
      </c>
      <c r="B948" s="3" t="n">
        <v>46311</v>
      </c>
      <c r="C948" s="2" t="s">
        <v>41</v>
      </c>
      <c r="D948" s="2" t="s">
        <v>38</v>
      </c>
      <c r="E948" s="2" t="s">
        <v>47</v>
      </c>
      <c r="F948" s="2" t="s">
        <v>32</v>
      </c>
      <c r="G948" s="2" t="s">
        <v>19</v>
      </c>
      <c r="H948" s="2"/>
      <c r="I948" s="2" t="n">
        <v>6.1</v>
      </c>
      <c r="J948" s="2" t="s">
        <v>20</v>
      </c>
      <c r="K948" s="2" t="n">
        <v>4</v>
      </c>
      <c r="L948" s="3" t="n">
        <f aca="false">B948-WEEKDAY(B948,2)+1</f>
        <v>46307</v>
      </c>
      <c r="M948" s="4" t="n">
        <f aca="false">IFERROR(INDEX(02_Parâmetros!$B$14:$B$17,MATCH(C948,02_Parâmetros!$A$14:$A$17,0)),"")</f>
        <v>240</v>
      </c>
      <c r="N948" s="2" t="str">
        <f aca="false">IF(OR(H948="",M948=""),"",IF(H948&lt;=M948,"Sim","Não"))</f>
        <v/>
      </c>
    </row>
    <row r="949" customFormat="false" ht="15" hidden="false" customHeight="false" outlineLevel="0" collapsed="false">
      <c r="A949" s="2" t="s">
        <v>986</v>
      </c>
      <c r="B949" s="3" t="n">
        <v>46311</v>
      </c>
      <c r="C949" s="2" t="s">
        <v>44</v>
      </c>
      <c r="D949" s="2" t="s">
        <v>38</v>
      </c>
      <c r="E949" s="2" t="s">
        <v>39</v>
      </c>
      <c r="F949" s="2" t="s">
        <v>32</v>
      </c>
      <c r="G949" s="2" t="s">
        <v>19</v>
      </c>
      <c r="H949" s="2" t="n">
        <v>1.3</v>
      </c>
      <c r="I949" s="2" t="n">
        <v>5.2</v>
      </c>
      <c r="J949" s="2" t="s">
        <v>20</v>
      </c>
      <c r="K949" s="2" t="n">
        <v>4</v>
      </c>
      <c r="L949" s="3" t="n">
        <f aca="false">B949-WEEKDAY(B949,2)+1</f>
        <v>46307</v>
      </c>
      <c r="M949" s="4" t="n">
        <f aca="false">IFERROR(INDEX(02_Parâmetros!$B$14:$B$17,MATCH(C949,02_Parâmetros!$A$14:$A$17,0)),"")</f>
        <v>2</v>
      </c>
      <c r="N949" s="2" t="str">
        <f aca="false">IF(OR(H949="",M949=""),"",IF(H949&lt;=M949,"Sim","Não"))</f>
        <v>Sim</v>
      </c>
    </row>
    <row r="950" customFormat="false" ht="15" hidden="false" customHeight="false" outlineLevel="0" collapsed="false">
      <c r="A950" s="2" t="s">
        <v>987</v>
      </c>
      <c r="B950" s="3" t="n">
        <v>46311</v>
      </c>
      <c r="C950" s="2" t="s">
        <v>27</v>
      </c>
      <c r="D950" s="2" t="s">
        <v>22</v>
      </c>
      <c r="E950" s="2" t="s">
        <v>28</v>
      </c>
      <c r="F950" s="2" t="s">
        <v>32</v>
      </c>
      <c r="G950" s="2" t="s">
        <v>19</v>
      </c>
      <c r="H950" s="2" t="n">
        <v>8.4</v>
      </c>
      <c r="I950" s="2" t="n">
        <v>8.1</v>
      </c>
      <c r="J950" s="2" t="s">
        <v>20</v>
      </c>
      <c r="K950" s="2"/>
      <c r="L950" s="3" t="n">
        <f aca="false">B950-WEEKDAY(B950,2)+1</f>
        <v>46307</v>
      </c>
      <c r="M950" s="4" t="n">
        <f aca="false">IFERROR(INDEX(02_Parâmetros!$B$14:$B$17,MATCH(C950,02_Parâmetros!$A$14:$A$17,0)),"")</f>
        <v>10</v>
      </c>
      <c r="N950" s="2" t="str">
        <f aca="false">IF(OR(H950="",M950=""),"",IF(H950&lt;=M950,"Sim","Não"))</f>
        <v>Sim</v>
      </c>
    </row>
    <row r="951" customFormat="false" ht="15" hidden="false" customHeight="false" outlineLevel="0" collapsed="false">
      <c r="A951" s="2" t="s">
        <v>988</v>
      </c>
      <c r="B951" s="3" t="n">
        <v>46311</v>
      </c>
      <c r="C951" s="2" t="s">
        <v>44</v>
      </c>
      <c r="D951" s="2" t="s">
        <v>16</v>
      </c>
      <c r="E951" s="2" t="s">
        <v>17</v>
      </c>
      <c r="F951" s="2" t="s">
        <v>24</v>
      </c>
      <c r="G951" s="2" t="s">
        <v>19</v>
      </c>
      <c r="H951" s="2" t="n">
        <v>1.5</v>
      </c>
      <c r="I951" s="2" t="n">
        <v>10.5</v>
      </c>
      <c r="J951" s="2" t="s">
        <v>25</v>
      </c>
      <c r="K951" s="2"/>
      <c r="L951" s="3" t="n">
        <f aca="false">B951-WEEKDAY(B951,2)+1</f>
        <v>46307</v>
      </c>
      <c r="M951" s="4" t="n">
        <f aca="false">IFERROR(INDEX(02_Parâmetros!$B$14:$B$17,MATCH(C951,02_Parâmetros!$A$14:$A$17,0)),"")</f>
        <v>2</v>
      </c>
      <c r="N951" s="2" t="str">
        <f aca="false">IF(OR(H951="",M951=""),"",IF(H951&lt;=M951,"Sim","Não"))</f>
        <v>Sim</v>
      </c>
    </row>
    <row r="952" customFormat="false" ht="15" hidden="false" customHeight="false" outlineLevel="0" collapsed="false">
      <c r="A952" s="2" t="s">
        <v>989</v>
      </c>
      <c r="B952" s="3" t="n">
        <v>46311</v>
      </c>
      <c r="C952" s="2" t="s">
        <v>44</v>
      </c>
      <c r="D952" s="2" t="s">
        <v>16</v>
      </c>
      <c r="E952" s="2" t="s">
        <v>36</v>
      </c>
      <c r="F952" s="2" t="s">
        <v>70</v>
      </c>
      <c r="G952" s="2" t="s">
        <v>19</v>
      </c>
      <c r="H952" s="2" t="n">
        <v>1.2</v>
      </c>
      <c r="I952" s="2" t="n">
        <v>7.6</v>
      </c>
      <c r="J952" s="2" t="s">
        <v>20</v>
      </c>
      <c r="K952" s="2"/>
      <c r="L952" s="3" t="n">
        <f aca="false">B952-WEEKDAY(B952,2)+1</f>
        <v>46307</v>
      </c>
      <c r="M952" s="4" t="n">
        <f aca="false">IFERROR(INDEX(02_Parâmetros!$B$14:$B$17,MATCH(C952,02_Parâmetros!$A$14:$A$17,0)),"")</f>
        <v>2</v>
      </c>
      <c r="N952" s="2" t="str">
        <f aca="false">IF(OR(H952="",M952=""),"",IF(H952&lt;=M952,"Sim","Não"))</f>
        <v>Sim</v>
      </c>
    </row>
    <row r="953" customFormat="false" ht="15" hidden="false" customHeight="false" outlineLevel="0" collapsed="false">
      <c r="A953" s="2" t="s">
        <v>990</v>
      </c>
      <c r="B953" s="3" t="n">
        <v>46314</v>
      </c>
      <c r="C953" s="2" t="s">
        <v>41</v>
      </c>
      <c r="D953" s="2" t="s">
        <v>38</v>
      </c>
      <c r="E953" s="2" t="s">
        <v>47</v>
      </c>
      <c r="F953" s="2" t="s">
        <v>32</v>
      </c>
      <c r="G953" s="2" t="s">
        <v>19</v>
      </c>
      <c r="H953" s="2" t="n">
        <v>64.8</v>
      </c>
      <c r="I953" s="2" t="n">
        <v>7.8</v>
      </c>
      <c r="J953" s="2" t="s">
        <v>20</v>
      </c>
      <c r="K953" s="2"/>
      <c r="L953" s="3" t="n">
        <f aca="false">B953-WEEKDAY(B953,2)+1</f>
        <v>46314</v>
      </c>
      <c r="M953" s="4" t="n">
        <f aca="false">IFERROR(INDEX(02_Parâmetros!$B$14:$B$17,MATCH(C953,02_Parâmetros!$A$14:$A$17,0)),"")</f>
        <v>240</v>
      </c>
      <c r="N953" s="2" t="str">
        <f aca="false">IF(OR(H953="",M953=""),"",IF(H953&lt;=M953,"Sim","Não"))</f>
        <v>Sim</v>
      </c>
    </row>
    <row r="954" customFormat="false" ht="15" hidden="false" customHeight="false" outlineLevel="0" collapsed="false">
      <c r="A954" s="2" t="s">
        <v>991</v>
      </c>
      <c r="B954" s="3" t="n">
        <v>46314</v>
      </c>
      <c r="C954" s="2" t="s">
        <v>27</v>
      </c>
      <c r="D954" s="2" t="s">
        <v>38</v>
      </c>
      <c r="E954" s="2" t="s">
        <v>39</v>
      </c>
      <c r="F954" s="2" t="s">
        <v>32</v>
      </c>
      <c r="G954" s="2" t="s">
        <v>19</v>
      </c>
      <c r="H954" s="2" t="n">
        <v>5.6</v>
      </c>
      <c r="I954" s="2" t="n">
        <v>6</v>
      </c>
      <c r="J954" s="2" t="s">
        <v>20</v>
      </c>
      <c r="K954" s="2" t="n">
        <v>4</v>
      </c>
      <c r="L954" s="3" t="n">
        <f aca="false">B954-WEEKDAY(B954,2)+1</f>
        <v>46314</v>
      </c>
      <c r="M954" s="4" t="n">
        <f aca="false">IFERROR(INDEX(02_Parâmetros!$B$14:$B$17,MATCH(C954,02_Parâmetros!$A$14:$A$17,0)),"")</f>
        <v>10</v>
      </c>
      <c r="N954" s="2" t="str">
        <f aca="false">IF(OR(H954="",M954=""),"",IF(H954&lt;=M954,"Sim","Não"))</f>
        <v>Sim</v>
      </c>
    </row>
    <row r="955" customFormat="false" ht="15" hidden="false" customHeight="false" outlineLevel="0" collapsed="false">
      <c r="A955" s="2" t="s">
        <v>992</v>
      </c>
      <c r="B955" s="3" t="n">
        <v>46314</v>
      </c>
      <c r="C955" s="2" t="s">
        <v>27</v>
      </c>
      <c r="D955" s="2" t="s">
        <v>16</v>
      </c>
      <c r="E955" s="2" t="s">
        <v>36</v>
      </c>
      <c r="F955" s="2" t="s">
        <v>42</v>
      </c>
      <c r="G955" s="2" t="s">
        <v>19</v>
      </c>
      <c r="H955" s="2" t="n">
        <v>14.3</v>
      </c>
      <c r="I955" s="2" t="n">
        <v>5.9</v>
      </c>
      <c r="J955" s="2" t="s">
        <v>20</v>
      </c>
      <c r="K955" s="2"/>
      <c r="L955" s="3" t="n">
        <f aca="false">B955-WEEKDAY(B955,2)+1</f>
        <v>46314</v>
      </c>
      <c r="M955" s="4" t="n">
        <f aca="false">IFERROR(INDEX(02_Parâmetros!$B$14:$B$17,MATCH(C955,02_Parâmetros!$A$14:$A$17,0)),"")</f>
        <v>10</v>
      </c>
      <c r="N955" s="2" t="str">
        <f aca="false">IF(OR(H955="",M955=""),"",IF(H955&lt;=M955,"Sim","Não"))</f>
        <v>Não</v>
      </c>
    </row>
    <row r="956" customFormat="false" ht="15" hidden="false" customHeight="false" outlineLevel="0" collapsed="false">
      <c r="A956" s="2" t="s">
        <v>993</v>
      </c>
      <c r="B956" s="3" t="n">
        <v>46314</v>
      </c>
      <c r="C956" s="2" t="s">
        <v>15</v>
      </c>
      <c r="D956" s="2" t="s">
        <v>22</v>
      </c>
      <c r="E956" s="2" t="s">
        <v>28</v>
      </c>
      <c r="F956" s="2" t="s">
        <v>42</v>
      </c>
      <c r="G956" s="2" t="s">
        <v>19</v>
      </c>
      <c r="H956" s="2"/>
      <c r="I956" s="2" t="n">
        <v>27</v>
      </c>
      <c r="J956" s="2" t="s">
        <v>25</v>
      </c>
      <c r="K956" s="2"/>
      <c r="L956" s="3" t="n">
        <f aca="false">B956-WEEKDAY(B956,2)+1</f>
        <v>46314</v>
      </c>
      <c r="M956" s="4" t="n">
        <f aca="false">IFERROR(INDEX(02_Parâmetros!$B$14:$B$17,MATCH(C956,02_Parâmetros!$A$14:$A$17,0)),"")</f>
        <v>1</v>
      </c>
      <c r="N956" s="2" t="str">
        <f aca="false">IF(OR(H956="",M956=""),"",IF(H956&lt;=M956,"Sim","Não"))</f>
        <v/>
      </c>
    </row>
    <row r="957" customFormat="false" ht="15" hidden="false" customHeight="false" outlineLevel="0" collapsed="false">
      <c r="A957" s="2" t="s">
        <v>994</v>
      </c>
      <c r="B957" s="3" t="n">
        <v>46314</v>
      </c>
      <c r="C957" s="2" t="s">
        <v>15</v>
      </c>
      <c r="D957" s="2" t="s">
        <v>38</v>
      </c>
      <c r="E957" s="2" t="s">
        <v>39</v>
      </c>
      <c r="F957" s="2" t="s">
        <v>42</v>
      </c>
      <c r="G957" s="2" t="s">
        <v>78</v>
      </c>
      <c r="H957" s="2" t="n">
        <v>0.4</v>
      </c>
      <c r="I957" s="2" t="n">
        <v>8.6</v>
      </c>
      <c r="J957" s="2"/>
      <c r="K957" s="2"/>
      <c r="L957" s="3" t="n">
        <f aca="false">B957-WEEKDAY(B957,2)+1</f>
        <v>46314</v>
      </c>
      <c r="M957" s="4" t="n">
        <f aca="false">IFERROR(INDEX(02_Parâmetros!$B$14:$B$17,MATCH(C957,02_Parâmetros!$A$14:$A$17,0)),"")</f>
        <v>1</v>
      </c>
      <c r="N957" s="2" t="str">
        <f aca="false">IF(OR(H957="",M957=""),"",IF(H957&lt;=M957,"Sim","Não"))</f>
        <v>Sim</v>
      </c>
    </row>
    <row r="958" customFormat="false" ht="15" hidden="false" customHeight="false" outlineLevel="0" collapsed="false">
      <c r="A958" s="2" t="s">
        <v>995</v>
      </c>
      <c r="B958" s="3" t="n">
        <v>46314</v>
      </c>
      <c r="C958" s="2" t="s">
        <v>27</v>
      </c>
      <c r="D958" s="2" t="s">
        <v>22</v>
      </c>
      <c r="E958" s="2" t="s">
        <v>28</v>
      </c>
      <c r="F958" s="2" t="s">
        <v>32</v>
      </c>
      <c r="G958" s="2" t="s">
        <v>19</v>
      </c>
      <c r="H958" s="2" t="n">
        <v>7.7</v>
      </c>
      <c r="I958" s="2" t="n">
        <v>5.6</v>
      </c>
      <c r="J958" s="2" t="s">
        <v>20</v>
      </c>
      <c r="K958" s="2" t="n">
        <v>4</v>
      </c>
      <c r="L958" s="3" t="n">
        <f aca="false">B958-WEEKDAY(B958,2)+1</f>
        <v>46314</v>
      </c>
      <c r="M958" s="4" t="n">
        <f aca="false">IFERROR(INDEX(02_Parâmetros!$B$14:$B$17,MATCH(C958,02_Parâmetros!$A$14:$A$17,0)),"")</f>
        <v>10</v>
      </c>
      <c r="N958" s="2" t="str">
        <f aca="false">IF(OR(H958="",M958=""),"",IF(H958&lt;=M958,"Sim","Não"))</f>
        <v>Sim</v>
      </c>
    </row>
    <row r="959" customFormat="false" ht="15" hidden="false" customHeight="false" outlineLevel="0" collapsed="false">
      <c r="A959" s="2" t="s">
        <v>996</v>
      </c>
      <c r="B959" s="3" t="n">
        <v>46314</v>
      </c>
      <c r="C959" s="2" t="s">
        <v>15</v>
      </c>
      <c r="D959" s="2" t="s">
        <v>16</v>
      </c>
      <c r="E959" s="2" t="s">
        <v>17</v>
      </c>
      <c r="F959" s="2" t="s">
        <v>42</v>
      </c>
      <c r="G959" s="2" t="s">
        <v>19</v>
      </c>
      <c r="H959" s="2" t="n">
        <v>0.4</v>
      </c>
      <c r="I959" s="2" t="n">
        <v>12</v>
      </c>
      <c r="J959" s="2" t="s">
        <v>20</v>
      </c>
      <c r="K959" s="2"/>
      <c r="L959" s="3" t="n">
        <f aca="false">B959-WEEKDAY(B959,2)+1</f>
        <v>46314</v>
      </c>
      <c r="M959" s="4" t="n">
        <f aca="false">IFERROR(INDEX(02_Parâmetros!$B$14:$B$17,MATCH(C959,02_Parâmetros!$A$14:$A$17,0)),"")</f>
        <v>1</v>
      </c>
      <c r="N959" s="2" t="str">
        <f aca="false">IF(OR(H959="",M959=""),"",IF(H959&lt;=M959,"Sim","Não"))</f>
        <v>Sim</v>
      </c>
    </row>
    <row r="960" customFormat="false" ht="15" hidden="false" customHeight="false" outlineLevel="0" collapsed="false">
      <c r="A960" s="2" t="s">
        <v>997</v>
      </c>
      <c r="B960" s="3" t="n">
        <v>46314</v>
      </c>
      <c r="C960" s="2" t="s">
        <v>27</v>
      </c>
      <c r="D960" s="2" t="s">
        <v>38</v>
      </c>
      <c r="E960" s="2" t="s">
        <v>47</v>
      </c>
      <c r="F960" s="2" t="s">
        <v>32</v>
      </c>
      <c r="G960" s="2" t="s">
        <v>19</v>
      </c>
      <c r="H960" s="2" t="n">
        <v>9.5</v>
      </c>
      <c r="I960" s="2" t="n">
        <v>7</v>
      </c>
      <c r="J960" s="2" t="s">
        <v>20</v>
      </c>
      <c r="K960" s="2"/>
      <c r="L960" s="3" t="n">
        <f aca="false">B960-WEEKDAY(B960,2)+1</f>
        <v>46314</v>
      </c>
      <c r="M960" s="4" t="n">
        <f aca="false">IFERROR(INDEX(02_Parâmetros!$B$14:$B$17,MATCH(C960,02_Parâmetros!$A$14:$A$17,0)),"")</f>
        <v>10</v>
      </c>
      <c r="N960" s="2" t="str">
        <f aca="false">IF(OR(H960="",M960=""),"",IF(H960&lt;=M960,"Sim","Não"))</f>
        <v>Sim</v>
      </c>
    </row>
    <row r="961" customFormat="false" ht="15" hidden="false" customHeight="false" outlineLevel="0" collapsed="false">
      <c r="A961" s="2" t="s">
        <v>998</v>
      </c>
      <c r="B961" s="3" t="n">
        <v>46314</v>
      </c>
      <c r="C961" s="2" t="s">
        <v>41</v>
      </c>
      <c r="D961" s="2" t="s">
        <v>38</v>
      </c>
      <c r="E961" s="2" t="s">
        <v>47</v>
      </c>
      <c r="F961" s="2" t="s">
        <v>24</v>
      </c>
      <c r="G961" s="2" t="s">
        <v>19</v>
      </c>
      <c r="H961" s="2" t="n">
        <v>186.6</v>
      </c>
      <c r="I961" s="2" t="n">
        <v>13.8</v>
      </c>
      <c r="J961" s="2" t="s">
        <v>25</v>
      </c>
      <c r="K961" s="2"/>
      <c r="L961" s="3" t="n">
        <f aca="false">B961-WEEKDAY(B961,2)+1</f>
        <v>46314</v>
      </c>
      <c r="M961" s="4" t="n">
        <f aca="false">IFERROR(INDEX(02_Parâmetros!$B$14:$B$17,MATCH(C961,02_Parâmetros!$A$14:$A$17,0)),"")</f>
        <v>240</v>
      </c>
      <c r="N961" s="2" t="str">
        <f aca="false">IF(OR(H961="",M961=""),"",IF(H961&lt;=M961,"Sim","Não"))</f>
        <v>Sim</v>
      </c>
    </row>
    <row r="962" customFormat="false" ht="15" hidden="false" customHeight="false" outlineLevel="0" collapsed="false">
      <c r="A962" s="2" t="s">
        <v>999</v>
      </c>
      <c r="B962" s="3" t="n">
        <v>46314</v>
      </c>
      <c r="C962" s="2" t="s">
        <v>41</v>
      </c>
      <c r="D962" s="2" t="s">
        <v>22</v>
      </c>
      <c r="E962" s="2" t="s">
        <v>28</v>
      </c>
      <c r="F962" s="2" t="s">
        <v>34</v>
      </c>
      <c r="G962" s="2" t="s">
        <v>19</v>
      </c>
      <c r="H962" s="2" t="n">
        <v>214</v>
      </c>
      <c r="I962" s="2" t="n">
        <v>8</v>
      </c>
      <c r="J962" s="2" t="s">
        <v>20</v>
      </c>
      <c r="K962" s="2"/>
      <c r="L962" s="3" t="n">
        <f aca="false">B962-WEEKDAY(B962,2)+1</f>
        <v>46314</v>
      </c>
      <c r="M962" s="4" t="n">
        <f aca="false">IFERROR(INDEX(02_Parâmetros!$B$14:$B$17,MATCH(C962,02_Parâmetros!$A$14:$A$17,0)),"")</f>
        <v>240</v>
      </c>
      <c r="N962" s="2" t="str">
        <f aca="false">IF(OR(H962="",M962=""),"",IF(H962&lt;=M962,"Sim","Não"))</f>
        <v>Sim</v>
      </c>
    </row>
    <row r="963" customFormat="false" ht="15" hidden="false" customHeight="false" outlineLevel="0" collapsed="false">
      <c r="A963" s="2" t="s">
        <v>1000</v>
      </c>
      <c r="B963" s="3" t="n">
        <v>46314</v>
      </c>
      <c r="C963" s="2" t="s">
        <v>44</v>
      </c>
      <c r="D963" s="2" t="s">
        <v>22</v>
      </c>
      <c r="E963" s="2" t="s">
        <v>28</v>
      </c>
      <c r="F963" s="2" t="s">
        <v>34</v>
      </c>
      <c r="G963" s="2" t="s">
        <v>19</v>
      </c>
      <c r="H963" s="2" t="n">
        <v>1.7</v>
      </c>
      <c r="I963" s="2" t="n">
        <v>5.1</v>
      </c>
      <c r="J963" s="2" t="s">
        <v>20</v>
      </c>
      <c r="K963" s="2"/>
      <c r="L963" s="3" t="n">
        <f aca="false">B963-WEEKDAY(B963,2)+1</f>
        <v>46314</v>
      </c>
      <c r="M963" s="4" t="n">
        <f aca="false">IFERROR(INDEX(02_Parâmetros!$B$14:$B$17,MATCH(C963,02_Parâmetros!$A$14:$A$17,0)),"")</f>
        <v>2</v>
      </c>
      <c r="N963" s="2" t="str">
        <f aca="false">IF(OR(H963="",M963=""),"",IF(H963&lt;=M963,"Sim","Não"))</f>
        <v>Sim</v>
      </c>
    </row>
    <row r="964" customFormat="false" ht="15" hidden="false" customHeight="false" outlineLevel="0" collapsed="false">
      <c r="A964" s="2" t="s">
        <v>1001</v>
      </c>
      <c r="B964" s="3" t="n">
        <v>46314</v>
      </c>
      <c r="C964" s="2" t="s">
        <v>41</v>
      </c>
      <c r="D964" s="2" t="s">
        <v>38</v>
      </c>
      <c r="E964" s="2" t="s">
        <v>47</v>
      </c>
      <c r="F964" s="2" t="s">
        <v>18</v>
      </c>
      <c r="G964" s="2" t="s">
        <v>19</v>
      </c>
      <c r="H964" s="2" t="n">
        <v>502.3</v>
      </c>
      <c r="I964" s="2" t="n">
        <v>13.1</v>
      </c>
      <c r="J964" s="2" t="s">
        <v>20</v>
      </c>
      <c r="K964" s="2" t="n">
        <v>1</v>
      </c>
      <c r="L964" s="3" t="n">
        <f aca="false">B964-WEEKDAY(B964,2)+1</f>
        <v>46314</v>
      </c>
      <c r="M964" s="4" t="n">
        <f aca="false">IFERROR(INDEX(02_Parâmetros!$B$14:$B$17,MATCH(C964,02_Parâmetros!$A$14:$A$17,0)),"")</f>
        <v>240</v>
      </c>
      <c r="N964" s="2" t="str">
        <f aca="false">IF(OR(H964="",M964=""),"",IF(H964&lt;=M964,"Sim","Não"))</f>
        <v>Não</v>
      </c>
    </row>
    <row r="965" customFormat="false" ht="15" hidden="false" customHeight="false" outlineLevel="0" collapsed="false">
      <c r="A965" s="2" t="s">
        <v>1002</v>
      </c>
      <c r="B965" s="3" t="n">
        <v>46314</v>
      </c>
      <c r="C965" s="2" t="s">
        <v>41</v>
      </c>
      <c r="D965" s="2" t="s">
        <v>22</v>
      </c>
      <c r="E965" s="2" t="s">
        <v>23</v>
      </c>
      <c r="F965" s="2" t="s">
        <v>24</v>
      </c>
      <c r="G965" s="2" t="s">
        <v>19</v>
      </c>
      <c r="H965" s="2" t="n">
        <v>206.2</v>
      </c>
      <c r="I965" s="2" t="n">
        <v>15.3</v>
      </c>
      <c r="J965" s="2" t="s">
        <v>20</v>
      </c>
      <c r="K965" s="2" t="n">
        <v>5</v>
      </c>
      <c r="L965" s="3" t="n">
        <f aca="false">B965-WEEKDAY(B965,2)+1</f>
        <v>46314</v>
      </c>
      <c r="M965" s="4" t="n">
        <f aca="false">IFERROR(INDEX(02_Parâmetros!$B$14:$B$17,MATCH(C965,02_Parâmetros!$A$14:$A$17,0)),"")</f>
        <v>240</v>
      </c>
      <c r="N965" s="2" t="str">
        <f aca="false">IF(OR(H965="",M965=""),"",IF(H965&lt;=M965,"Sim","Não"))</f>
        <v>Sim</v>
      </c>
    </row>
    <row r="966" customFormat="false" ht="15" hidden="false" customHeight="false" outlineLevel="0" collapsed="false">
      <c r="A966" s="2" t="s">
        <v>1003</v>
      </c>
      <c r="B966" s="3" t="n">
        <v>46314</v>
      </c>
      <c r="C966" s="2" t="s">
        <v>27</v>
      </c>
      <c r="D966" s="2" t="s">
        <v>22</v>
      </c>
      <c r="E966" s="2" t="s">
        <v>23</v>
      </c>
      <c r="F966" s="2" t="s">
        <v>34</v>
      </c>
      <c r="G966" s="2" t="s">
        <v>19</v>
      </c>
      <c r="H966" s="2" t="n">
        <v>9.9</v>
      </c>
      <c r="I966" s="2" t="n">
        <v>5.7</v>
      </c>
      <c r="J966" s="2" t="s">
        <v>20</v>
      </c>
      <c r="K966" s="2"/>
      <c r="L966" s="3" t="n">
        <f aca="false">B966-WEEKDAY(B966,2)+1</f>
        <v>46314</v>
      </c>
      <c r="M966" s="4" t="n">
        <f aca="false">IFERROR(INDEX(02_Parâmetros!$B$14:$B$17,MATCH(C966,02_Parâmetros!$A$14:$A$17,0)),"")</f>
        <v>10</v>
      </c>
      <c r="N966" s="2" t="str">
        <f aca="false">IF(OR(H966="",M966=""),"",IF(H966&lt;=M966,"Sim","Não"))</f>
        <v>Sim</v>
      </c>
    </row>
    <row r="967" customFormat="false" ht="15" hidden="false" customHeight="false" outlineLevel="0" collapsed="false">
      <c r="A967" s="2" t="s">
        <v>1004</v>
      </c>
      <c r="B967" s="3" t="n">
        <v>46314</v>
      </c>
      <c r="C967" s="2" t="s">
        <v>27</v>
      </c>
      <c r="D967" s="2" t="s">
        <v>22</v>
      </c>
      <c r="E967" s="2" t="s">
        <v>28</v>
      </c>
      <c r="F967" s="2" t="s">
        <v>24</v>
      </c>
      <c r="G967" s="2" t="s">
        <v>19</v>
      </c>
      <c r="H967" s="2" t="n">
        <v>19.5</v>
      </c>
      <c r="I967" s="2" t="n">
        <v>10.6</v>
      </c>
      <c r="J967" s="2" t="s">
        <v>25</v>
      </c>
      <c r="K967" s="2"/>
      <c r="L967" s="3" t="n">
        <f aca="false">B967-WEEKDAY(B967,2)+1</f>
        <v>46314</v>
      </c>
      <c r="M967" s="4" t="n">
        <f aca="false">IFERROR(INDEX(02_Parâmetros!$B$14:$B$17,MATCH(C967,02_Parâmetros!$A$14:$A$17,0)),"")</f>
        <v>10</v>
      </c>
      <c r="N967" s="2" t="str">
        <f aca="false">IF(OR(H967="",M967=""),"",IF(H967&lt;=M967,"Sim","Não"))</f>
        <v>Não</v>
      </c>
    </row>
    <row r="968" customFormat="false" ht="15" hidden="false" customHeight="false" outlineLevel="0" collapsed="false">
      <c r="A968" s="2" t="s">
        <v>1005</v>
      </c>
      <c r="B968" s="3" t="n">
        <v>46314</v>
      </c>
      <c r="C968" s="2" t="s">
        <v>27</v>
      </c>
      <c r="D968" s="2" t="s">
        <v>16</v>
      </c>
      <c r="E968" s="2" t="s">
        <v>31</v>
      </c>
      <c r="F968" s="2" t="s">
        <v>24</v>
      </c>
      <c r="G968" s="2" t="s">
        <v>19</v>
      </c>
      <c r="H968" s="2" t="n">
        <v>9</v>
      </c>
      <c r="I968" s="2" t="n">
        <v>9.5</v>
      </c>
      <c r="J968" s="2" t="s">
        <v>20</v>
      </c>
      <c r="K968" s="2"/>
      <c r="L968" s="3" t="n">
        <f aca="false">B968-WEEKDAY(B968,2)+1</f>
        <v>46314</v>
      </c>
      <c r="M968" s="4" t="n">
        <f aca="false">IFERROR(INDEX(02_Parâmetros!$B$14:$B$17,MATCH(C968,02_Parâmetros!$A$14:$A$17,0)),"")</f>
        <v>10</v>
      </c>
      <c r="N968" s="2" t="str">
        <f aca="false">IF(OR(H968="",M968=""),"",IF(H968&lt;=M968,"Sim","Não"))</f>
        <v>Sim</v>
      </c>
    </row>
    <row r="969" customFormat="false" ht="15" hidden="false" customHeight="false" outlineLevel="0" collapsed="false">
      <c r="A969" s="2" t="s">
        <v>1006</v>
      </c>
      <c r="B969" s="3" t="n">
        <v>46314</v>
      </c>
      <c r="C969" s="2" t="s">
        <v>27</v>
      </c>
      <c r="D969" s="2" t="s">
        <v>16</v>
      </c>
      <c r="E969" s="2" t="s">
        <v>31</v>
      </c>
      <c r="F969" s="2" t="s">
        <v>32</v>
      </c>
      <c r="G969" s="2" t="s">
        <v>19</v>
      </c>
      <c r="H969" s="2" t="n">
        <v>2.5</v>
      </c>
      <c r="I969" s="2" t="n">
        <v>4.4</v>
      </c>
      <c r="J969" s="2" t="s">
        <v>20</v>
      </c>
      <c r="K969" s="2"/>
      <c r="L969" s="3" t="n">
        <f aca="false">B969-WEEKDAY(B969,2)+1</f>
        <v>46314</v>
      </c>
      <c r="M969" s="4" t="n">
        <f aca="false">IFERROR(INDEX(02_Parâmetros!$B$14:$B$17,MATCH(C969,02_Parâmetros!$A$14:$A$17,0)),"")</f>
        <v>10</v>
      </c>
      <c r="N969" s="2" t="str">
        <f aca="false">IF(OR(H969="",M969=""),"",IF(H969&lt;=M969,"Sim","Não"))</f>
        <v>Sim</v>
      </c>
    </row>
    <row r="970" customFormat="false" ht="15" hidden="false" customHeight="false" outlineLevel="0" collapsed="false">
      <c r="A970" s="2" t="s">
        <v>1007</v>
      </c>
      <c r="B970" s="3" t="n">
        <v>46314</v>
      </c>
      <c r="C970" s="2" t="s">
        <v>15</v>
      </c>
      <c r="D970" s="2" t="s">
        <v>38</v>
      </c>
      <c r="E970" s="2" t="s">
        <v>39</v>
      </c>
      <c r="F970" s="2" t="s">
        <v>32</v>
      </c>
      <c r="G970" s="2" t="s">
        <v>19</v>
      </c>
      <c r="H970" s="2" t="n">
        <v>0.5</v>
      </c>
      <c r="I970" s="2" t="n">
        <v>6.8</v>
      </c>
      <c r="J970" s="2" t="s">
        <v>20</v>
      </c>
      <c r="K970" s="2" t="n">
        <v>5</v>
      </c>
      <c r="L970" s="3" t="n">
        <f aca="false">B970-WEEKDAY(B970,2)+1</f>
        <v>46314</v>
      </c>
      <c r="M970" s="4" t="n">
        <f aca="false">IFERROR(INDEX(02_Parâmetros!$B$14:$B$17,MATCH(C970,02_Parâmetros!$A$14:$A$17,0)),"")</f>
        <v>1</v>
      </c>
      <c r="N970" s="2" t="str">
        <f aca="false">IF(OR(H970="",M970=""),"",IF(H970&lt;=M970,"Sim","Não"))</f>
        <v>Sim</v>
      </c>
    </row>
    <row r="971" customFormat="false" ht="15" hidden="false" customHeight="false" outlineLevel="0" collapsed="false">
      <c r="A971" s="2" t="s">
        <v>1008</v>
      </c>
      <c r="B971" s="3" t="n">
        <v>46314</v>
      </c>
      <c r="C971" s="2" t="s">
        <v>41</v>
      </c>
      <c r="D971" s="2" t="s">
        <v>16</v>
      </c>
      <c r="E971" s="2" t="s">
        <v>36</v>
      </c>
      <c r="F971" s="2" t="s">
        <v>18</v>
      </c>
      <c r="G971" s="2" t="s">
        <v>19</v>
      </c>
      <c r="H971" s="2" t="n">
        <v>167.5</v>
      </c>
      <c r="I971" s="2" t="n">
        <v>16.9</v>
      </c>
      <c r="J971" s="2" t="s">
        <v>25</v>
      </c>
      <c r="K971" s="2"/>
      <c r="L971" s="3" t="n">
        <f aca="false">B971-WEEKDAY(B971,2)+1</f>
        <v>46314</v>
      </c>
      <c r="M971" s="4" t="n">
        <f aca="false">IFERROR(INDEX(02_Parâmetros!$B$14:$B$17,MATCH(C971,02_Parâmetros!$A$14:$A$17,0)),"")</f>
        <v>240</v>
      </c>
      <c r="N971" s="2" t="str">
        <f aca="false">IF(OR(H971="",M971=""),"",IF(H971&lt;=M971,"Sim","Não"))</f>
        <v>Sim</v>
      </c>
    </row>
    <row r="972" customFormat="false" ht="15" hidden="false" customHeight="false" outlineLevel="0" collapsed="false">
      <c r="A972" s="2" t="s">
        <v>1009</v>
      </c>
      <c r="B972" s="3" t="n">
        <v>46314</v>
      </c>
      <c r="C972" s="2" t="s">
        <v>15</v>
      </c>
      <c r="D972" s="2" t="s">
        <v>16</v>
      </c>
      <c r="E972" s="2" t="s">
        <v>17</v>
      </c>
      <c r="F972" s="2" t="s">
        <v>70</v>
      </c>
      <c r="G972" s="2" t="s">
        <v>19</v>
      </c>
      <c r="H972" s="2" t="n">
        <v>0.3</v>
      </c>
      <c r="I972" s="2" t="n">
        <v>11.9</v>
      </c>
      <c r="J972" s="2" t="s">
        <v>20</v>
      </c>
      <c r="K972" s="2" t="n">
        <v>4</v>
      </c>
      <c r="L972" s="3" t="n">
        <f aca="false">B972-WEEKDAY(B972,2)+1</f>
        <v>46314</v>
      </c>
      <c r="M972" s="4" t="n">
        <f aca="false">IFERROR(INDEX(02_Parâmetros!$B$14:$B$17,MATCH(C972,02_Parâmetros!$A$14:$A$17,0)),"")</f>
        <v>1</v>
      </c>
      <c r="N972" s="2" t="str">
        <f aca="false">IF(OR(H972="",M972=""),"",IF(H972&lt;=M972,"Sim","Não"))</f>
        <v>Sim</v>
      </c>
    </row>
    <row r="973" customFormat="false" ht="15" hidden="false" customHeight="false" outlineLevel="0" collapsed="false">
      <c r="A973" s="2" t="s">
        <v>1010</v>
      </c>
      <c r="B973" s="3" t="n">
        <v>46314</v>
      </c>
      <c r="C973" s="2" t="s">
        <v>44</v>
      </c>
      <c r="D973" s="2" t="s">
        <v>38</v>
      </c>
      <c r="E973" s="2" t="s">
        <v>39</v>
      </c>
      <c r="F973" s="2" t="s">
        <v>42</v>
      </c>
      <c r="G973" s="2" t="s">
        <v>19</v>
      </c>
      <c r="H973" s="2" t="n">
        <v>0.7</v>
      </c>
      <c r="I973" s="2" t="n">
        <v>4</v>
      </c>
      <c r="J973" s="2" t="s">
        <v>20</v>
      </c>
      <c r="K973" s="2"/>
      <c r="L973" s="3" t="n">
        <f aca="false">B973-WEEKDAY(B973,2)+1</f>
        <v>46314</v>
      </c>
      <c r="M973" s="4" t="n">
        <f aca="false">IFERROR(INDEX(02_Parâmetros!$B$14:$B$17,MATCH(C973,02_Parâmetros!$A$14:$A$17,0)),"")</f>
        <v>2</v>
      </c>
      <c r="N973" s="2" t="str">
        <f aca="false">IF(OR(H973="",M973=""),"",IF(H973&lt;=M973,"Sim","Não"))</f>
        <v>Sim</v>
      </c>
    </row>
    <row r="974" customFormat="false" ht="15" hidden="false" customHeight="false" outlineLevel="0" collapsed="false">
      <c r="A974" s="2" t="s">
        <v>1011</v>
      </c>
      <c r="B974" s="3" t="n">
        <v>46314</v>
      </c>
      <c r="C974" s="2" t="s">
        <v>44</v>
      </c>
      <c r="D974" s="2" t="s">
        <v>16</v>
      </c>
      <c r="E974" s="2" t="s">
        <v>36</v>
      </c>
      <c r="F974" s="2" t="s">
        <v>18</v>
      </c>
      <c r="G974" s="2" t="s">
        <v>19</v>
      </c>
      <c r="H974" s="2" t="n">
        <v>1.4</v>
      </c>
      <c r="I974" s="2" t="n">
        <v>7.6</v>
      </c>
      <c r="J974" s="2" t="s">
        <v>25</v>
      </c>
      <c r="K974" s="2"/>
      <c r="L974" s="3" t="n">
        <f aca="false">B974-WEEKDAY(B974,2)+1</f>
        <v>46314</v>
      </c>
      <c r="M974" s="4" t="n">
        <f aca="false">IFERROR(INDEX(02_Parâmetros!$B$14:$B$17,MATCH(C974,02_Parâmetros!$A$14:$A$17,0)),"")</f>
        <v>2</v>
      </c>
      <c r="N974" s="2" t="str">
        <f aca="false">IF(OR(H974="",M974=""),"",IF(H974&lt;=M974,"Sim","Não"))</f>
        <v>Sim</v>
      </c>
    </row>
    <row r="975" customFormat="false" ht="15" hidden="false" customHeight="false" outlineLevel="0" collapsed="false">
      <c r="A975" s="2" t="s">
        <v>1012</v>
      </c>
      <c r="B975" s="3" t="n">
        <v>46314</v>
      </c>
      <c r="C975" s="2" t="s">
        <v>41</v>
      </c>
      <c r="D975" s="2" t="s">
        <v>16</v>
      </c>
      <c r="E975" s="2" t="s">
        <v>31</v>
      </c>
      <c r="F975" s="2" t="s">
        <v>70</v>
      </c>
      <c r="G975" s="2" t="s">
        <v>19</v>
      </c>
      <c r="H975" s="2" t="n">
        <v>558.4</v>
      </c>
      <c r="I975" s="2" t="n">
        <v>8.8</v>
      </c>
      <c r="J975" s="2" t="s">
        <v>20</v>
      </c>
      <c r="K975" s="2"/>
      <c r="L975" s="3" t="n">
        <f aca="false">B975-WEEKDAY(B975,2)+1</f>
        <v>46314</v>
      </c>
      <c r="M975" s="4" t="n">
        <f aca="false">IFERROR(INDEX(02_Parâmetros!$B$14:$B$17,MATCH(C975,02_Parâmetros!$A$14:$A$17,0)),"")</f>
        <v>240</v>
      </c>
      <c r="N975" s="2" t="str">
        <f aca="false">IF(OR(H975="",M975=""),"",IF(H975&lt;=M975,"Sim","Não"))</f>
        <v>Não</v>
      </c>
    </row>
    <row r="976" customFormat="false" ht="15" hidden="false" customHeight="false" outlineLevel="0" collapsed="false">
      <c r="A976" s="2" t="s">
        <v>1013</v>
      </c>
      <c r="B976" s="3" t="n">
        <v>46314</v>
      </c>
      <c r="C976" s="2" t="s">
        <v>27</v>
      </c>
      <c r="D976" s="2" t="s">
        <v>38</v>
      </c>
      <c r="E976" s="2" t="s">
        <v>39</v>
      </c>
      <c r="F976" s="2" t="s">
        <v>18</v>
      </c>
      <c r="G976" s="2" t="s">
        <v>19</v>
      </c>
      <c r="H976" s="2" t="n">
        <v>9.4</v>
      </c>
      <c r="I976" s="2" t="n">
        <v>9.2</v>
      </c>
      <c r="J976" s="2" t="s">
        <v>25</v>
      </c>
      <c r="K976" s="2"/>
      <c r="L976" s="3" t="n">
        <f aca="false">B976-WEEKDAY(B976,2)+1</f>
        <v>46314</v>
      </c>
      <c r="M976" s="4" t="n">
        <f aca="false">IFERROR(INDEX(02_Parâmetros!$B$14:$B$17,MATCH(C976,02_Parâmetros!$A$14:$A$17,0)),"")</f>
        <v>10</v>
      </c>
      <c r="N976" s="2" t="str">
        <f aca="false">IF(OR(H976="",M976=""),"",IF(H976&lt;=M976,"Sim","Não"))</f>
        <v>Sim</v>
      </c>
    </row>
    <row r="977" customFormat="false" ht="15" hidden="false" customHeight="false" outlineLevel="0" collapsed="false">
      <c r="A977" s="2" t="s">
        <v>1014</v>
      </c>
      <c r="B977" s="3" t="n">
        <v>46314</v>
      </c>
      <c r="C977" s="2" t="s">
        <v>15</v>
      </c>
      <c r="D977" s="2" t="s">
        <v>38</v>
      </c>
      <c r="E977" s="2" t="s">
        <v>47</v>
      </c>
      <c r="F977" s="2" t="s">
        <v>24</v>
      </c>
      <c r="G977" s="2" t="s">
        <v>19</v>
      </c>
      <c r="H977" s="2" t="n">
        <v>0.4</v>
      </c>
      <c r="I977" s="2" t="n">
        <v>9.4</v>
      </c>
      <c r="J977" s="2" t="s">
        <v>25</v>
      </c>
      <c r="K977" s="2"/>
      <c r="L977" s="3" t="n">
        <f aca="false">B977-WEEKDAY(B977,2)+1</f>
        <v>46314</v>
      </c>
      <c r="M977" s="4" t="n">
        <f aca="false">IFERROR(INDEX(02_Parâmetros!$B$14:$B$17,MATCH(C977,02_Parâmetros!$A$14:$A$17,0)),"")</f>
        <v>1</v>
      </c>
      <c r="N977" s="2" t="str">
        <f aca="false">IF(OR(H977="",M977=""),"",IF(H977&lt;=M977,"Sim","Não"))</f>
        <v>Sim</v>
      </c>
    </row>
    <row r="978" customFormat="false" ht="15" hidden="false" customHeight="false" outlineLevel="0" collapsed="false">
      <c r="A978" s="2" t="s">
        <v>1015</v>
      </c>
      <c r="B978" s="3" t="n">
        <v>46314</v>
      </c>
      <c r="C978" s="2" t="s">
        <v>41</v>
      </c>
      <c r="D978" s="2" t="s">
        <v>22</v>
      </c>
      <c r="E978" s="2" t="s">
        <v>23</v>
      </c>
      <c r="F978" s="2" t="s">
        <v>70</v>
      </c>
      <c r="G978" s="2" t="s">
        <v>19</v>
      </c>
      <c r="H978" s="2"/>
      <c r="I978" s="2" t="n">
        <v>9</v>
      </c>
      <c r="J978" s="2" t="s">
        <v>20</v>
      </c>
      <c r="K978" s="2" t="n">
        <v>3</v>
      </c>
      <c r="L978" s="3" t="n">
        <f aca="false">B978-WEEKDAY(B978,2)+1</f>
        <v>46314</v>
      </c>
      <c r="M978" s="4" t="n">
        <f aca="false">IFERROR(INDEX(02_Parâmetros!$B$14:$B$17,MATCH(C978,02_Parâmetros!$A$14:$A$17,0)),"")</f>
        <v>240</v>
      </c>
      <c r="N978" s="2" t="str">
        <f aca="false">IF(OR(H978="",M978=""),"",IF(H978&lt;=M978,"Sim","Não"))</f>
        <v/>
      </c>
    </row>
    <row r="979" customFormat="false" ht="15" hidden="false" customHeight="false" outlineLevel="0" collapsed="false">
      <c r="A979" s="2" t="s">
        <v>1016</v>
      </c>
      <c r="B979" s="3" t="n">
        <v>46314</v>
      </c>
      <c r="C979" s="2" t="s">
        <v>41</v>
      </c>
      <c r="D979" s="2" t="s">
        <v>38</v>
      </c>
      <c r="E979" s="2" t="s">
        <v>39</v>
      </c>
      <c r="F979" s="2" t="s">
        <v>18</v>
      </c>
      <c r="G979" s="2" t="s">
        <v>19</v>
      </c>
      <c r="H979" s="2" t="n">
        <v>188</v>
      </c>
      <c r="I979" s="2" t="n">
        <v>10.4</v>
      </c>
      <c r="J979" s="2" t="s">
        <v>20</v>
      </c>
      <c r="K979" s="2" t="n">
        <v>5</v>
      </c>
      <c r="L979" s="3" t="n">
        <f aca="false">B979-WEEKDAY(B979,2)+1</f>
        <v>46314</v>
      </c>
      <c r="M979" s="4" t="n">
        <f aca="false">IFERROR(INDEX(02_Parâmetros!$B$14:$B$17,MATCH(C979,02_Parâmetros!$A$14:$A$17,0)),"")</f>
        <v>240</v>
      </c>
      <c r="N979" s="2" t="str">
        <f aca="false">IF(OR(H979="",M979=""),"",IF(H979&lt;=M979,"Sim","Não"))</f>
        <v>Sim</v>
      </c>
    </row>
    <row r="980" customFormat="false" ht="15" hidden="false" customHeight="false" outlineLevel="0" collapsed="false">
      <c r="A980" s="2" t="s">
        <v>1017</v>
      </c>
      <c r="B980" s="3" t="n">
        <v>46314</v>
      </c>
      <c r="C980" s="2" t="s">
        <v>27</v>
      </c>
      <c r="D980" s="2" t="s">
        <v>38</v>
      </c>
      <c r="E980" s="2" t="s">
        <v>47</v>
      </c>
      <c r="F980" s="2" t="s">
        <v>32</v>
      </c>
      <c r="G980" s="2" t="s">
        <v>19</v>
      </c>
      <c r="H980" s="2" t="n">
        <v>3.4</v>
      </c>
      <c r="I980" s="2" t="n">
        <v>7.7</v>
      </c>
      <c r="J980" s="2" t="s">
        <v>20</v>
      </c>
      <c r="K980" s="2"/>
      <c r="L980" s="3" t="n">
        <f aca="false">B980-WEEKDAY(B980,2)+1</f>
        <v>46314</v>
      </c>
      <c r="M980" s="4" t="n">
        <f aca="false">IFERROR(INDEX(02_Parâmetros!$B$14:$B$17,MATCH(C980,02_Parâmetros!$A$14:$A$17,0)),"")</f>
        <v>10</v>
      </c>
      <c r="N980" s="2" t="str">
        <f aca="false">IF(OR(H980="",M980=""),"",IF(H980&lt;=M980,"Sim","Não"))</f>
        <v>Sim</v>
      </c>
    </row>
    <row r="981" customFormat="false" ht="15" hidden="false" customHeight="false" outlineLevel="0" collapsed="false">
      <c r="A981" s="2" t="s">
        <v>1018</v>
      </c>
      <c r="B981" s="3" t="n">
        <v>46314</v>
      </c>
      <c r="C981" s="2" t="s">
        <v>27</v>
      </c>
      <c r="D981" s="2" t="s">
        <v>38</v>
      </c>
      <c r="E981" s="2" t="s">
        <v>39</v>
      </c>
      <c r="F981" s="2" t="s">
        <v>34</v>
      </c>
      <c r="G981" s="2" t="s">
        <v>19</v>
      </c>
      <c r="H981" s="2" t="n">
        <v>8.5</v>
      </c>
      <c r="I981" s="2" t="n">
        <v>7.6</v>
      </c>
      <c r="J981" s="2" t="s">
        <v>20</v>
      </c>
      <c r="K981" s="2"/>
      <c r="L981" s="3" t="n">
        <f aca="false">B981-WEEKDAY(B981,2)+1</f>
        <v>46314</v>
      </c>
      <c r="M981" s="4" t="n">
        <f aca="false">IFERROR(INDEX(02_Parâmetros!$B$14:$B$17,MATCH(C981,02_Parâmetros!$A$14:$A$17,0)),"")</f>
        <v>10</v>
      </c>
      <c r="N981" s="2" t="str">
        <f aca="false">IF(OR(H981="",M981=""),"",IF(H981&lt;=M981,"Sim","Não"))</f>
        <v>Sim</v>
      </c>
    </row>
    <row r="982" customFormat="false" ht="15" hidden="false" customHeight="false" outlineLevel="0" collapsed="false">
      <c r="A982" s="2" t="s">
        <v>1019</v>
      </c>
      <c r="B982" s="3" t="n">
        <v>46314</v>
      </c>
      <c r="C982" s="2" t="s">
        <v>44</v>
      </c>
      <c r="D982" s="2" t="s">
        <v>22</v>
      </c>
      <c r="E982" s="2" t="s">
        <v>23</v>
      </c>
      <c r="F982" s="2" t="s">
        <v>18</v>
      </c>
      <c r="G982" s="2" t="s">
        <v>19</v>
      </c>
      <c r="H982" s="2" t="n">
        <v>1.4</v>
      </c>
      <c r="I982" s="2" t="n">
        <v>14.2</v>
      </c>
      <c r="J982" s="2" t="s">
        <v>20</v>
      </c>
      <c r="K982" s="2" t="n">
        <v>2</v>
      </c>
      <c r="L982" s="3" t="n">
        <f aca="false">B982-WEEKDAY(B982,2)+1</f>
        <v>46314</v>
      </c>
      <c r="M982" s="4" t="n">
        <f aca="false">IFERROR(INDEX(02_Parâmetros!$B$14:$B$17,MATCH(C982,02_Parâmetros!$A$14:$A$17,0)),"")</f>
        <v>2</v>
      </c>
      <c r="N982" s="2" t="str">
        <f aca="false">IF(OR(H982="",M982=""),"",IF(H982&lt;=M982,"Sim","Não"))</f>
        <v>Sim</v>
      </c>
    </row>
    <row r="983" customFormat="false" ht="15" hidden="false" customHeight="false" outlineLevel="0" collapsed="false">
      <c r="A983" s="2" t="s">
        <v>1020</v>
      </c>
      <c r="B983" s="3" t="n">
        <v>46314</v>
      </c>
      <c r="C983" s="2" t="s">
        <v>15</v>
      </c>
      <c r="D983" s="2" t="s">
        <v>38</v>
      </c>
      <c r="E983" s="2" t="s">
        <v>47</v>
      </c>
      <c r="F983" s="2" t="s">
        <v>42</v>
      </c>
      <c r="G983" s="2" t="s">
        <v>19</v>
      </c>
      <c r="H983" s="2" t="n">
        <v>0.9</v>
      </c>
      <c r="I983" s="2" t="n">
        <v>8.2</v>
      </c>
      <c r="J983" s="2" t="s">
        <v>20</v>
      </c>
      <c r="K983" s="2"/>
      <c r="L983" s="3" t="n">
        <f aca="false">B983-WEEKDAY(B983,2)+1</f>
        <v>46314</v>
      </c>
      <c r="M983" s="4" t="n">
        <f aca="false">IFERROR(INDEX(02_Parâmetros!$B$14:$B$17,MATCH(C983,02_Parâmetros!$A$14:$A$17,0)),"")</f>
        <v>1</v>
      </c>
      <c r="N983" s="2" t="str">
        <f aca="false">IF(OR(H983="",M983=""),"",IF(H983&lt;=M983,"Sim","Não"))</f>
        <v>Sim</v>
      </c>
    </row>
    <row r="984" customFormat="false" ht="15" hidden="false" customHeight="false" outlineLevel="0" collapsed="false">
      <c r="A984" s="2" t="s">
        <v>1021</v>
      </c>
      <c r="B984" s="3" t="n">
        <v>46314</v>
      </c>
      <c r="C984" s="2" t="s">
        <v>15</v>
      </c>
      <c r="D984" s="2" t="s">
        <v>22</v>
      </c>
      <c r="E984" s="2" t="s">
        <v>28</v>
      </c>
      <c r="F984" s="2" t="s">
        <v>34</v>
      </c>
      <c r="G984" s="2" t="s">
        <v>19</v>
      </c>
      <c r="H984" s="2" t="n">
        <v>0.3</v>
      </c>
      <c r="I984" s="2" t="n">
        <v>6.4</v>
      </c>
      <c r="J984" s="2" t="s">
        <v>20</v>
      </c>
      <c r="K984" s="2"/>
      <c r="L984" s="3" t="n">
        <f aca="false">B984-WEEKDAY(B984,2)+1</f>
        <v>46314</v>
      </c>
      <c r="M984" s="4" t="n">
        <f aca="false">IFERROR(INDEX(02_Parâmetros!$B$14:$B$17,MATCH(C984,02_Parâmetros!$A$14:$A$17,0)),"")</f>
        <v>1</v>
      </c>
      <c r="N984" s="2" t="str">
        <f aca="false">IF(OR(H984="",M984=""),"",IF(H984&lt;=M984,"Sim","Não"))</f>
        <v>Sim</v>
      </c>
    </row>
    <row r="985" customFormat="false" ht="15" hidden="false" customHeight="false" outlineLevel="0" collapsed="false">
      <c r="A985" s="2" t="s">
        <v>1022</v>
      </c>
      <c r="B985" s="3" t="n">
        <v>46314</v>
      </c>
      <c r="C985" s="2" t="s">
        <v>15</v>
      </c>
      <c r="D985" s="2" t="s">
        <v>38</v>
      </c>
      <c r="E985" s="2" t="s">
        <v>47</v>
      </c>
      <c r="F985" s="2" t="s">
        <v>32</v>
      </c>
      <c r="G985" s="2" t="s">
        <v>19</v>
      </c>
      <c r="H985" s="2" t="n">
        <v>0.7</v>
      </c>
      <c r="I985" s="2" t="n">
        <v>10.4</v>
      </c>
      <c r="J985" s="2" t="s">
        <v>25</v>
      </c>
      <c r="K985" s="2"/>
      <c r="L985" s="3" t="n">
        <f aca="false">B985-WEEKDAY(B985,2)+1</f>
        <v>46314</v>
      </c>
      <c r="M985" s="4" t="n">
        <f aca="false">IFERROR(INDEX(02_Parâmetros!$B$14:$B$17,MATCH(C985,02_Parâmetros!$A$14:$A$17,0)),"")</f>
        <v>1</v>
      </c>
      <c r="N985" s="2" t="str">
        <f aca="false">IF(OR(H985="",M985=""),"",IF(H985&lt;=M985,"Sim","Não"))</f>
        <v>Sim</v>
      </c>
    </row>
    <row r="986" customFormat="false" ht="15" hidden="false" customHeight="false" outlineLevel="0" collapsed="false">
      <c r="A986" s="2" t="s">
        <v>1023</v>
      </c>
      <c r="B986" s="3" t="n">
        <v>46314</v>
      </c>
      <c r="C986" s="2" t="s">
        <v>44</v>
      </c>
      <c r="D986" s="2" t="s">
        <v>38</v>
      </c>
      <c r="E986" s="2" t="s">
        <v>47</v>
      </c>
      <c r="F986" s="2" t="s">
        <v>70</v>
      </c>
      <c r="G986" s="2" t="s">
        <v>19</v>
      </c>
      <c r="H986" s="2" t="n">
        <v>1.5</v>
      </c>
      <c r="I986" s="2" t="n">
        <v>10.8</v>
      </c>
      <c r="J986" s="2" t="s">
        <v>20</v>
      </c>
      <c r="K986" s="2" t="n">
        <v>4</v>
      </c>
      <c r="L986" s="3" t="n">
        <f aca="false">B986-WEEKDAY(B986,2)+1</f>
        <v>46314</v>
      </c>
      <c r="M986" s="4" t="n">
        <f aca="false">IFERROR(INDEX(02_Parâmetros!$B$14:$B$17,MATCH(C986,02_Parâmetros!$A$14:$A$17,0)),"")</f>
        <v>2</v>
      </c>
      <c r="N986" s="2" t="str">
        <f aca="false">IF(OR(H986="",M986=""),"",IF(H986&lt;=M986,"Sim","Não"))</f>
        <v>Sim</v>
      </c>
    </row>
    <row r="987" customFormat="false" ht="15" hidden="false" customHeight="false" outlineLevel="0" collapsed="false">
      <c r="A987" s="2" t="s">
        <v>1024</v>
      </c>
      <c r="B987" s="3" t="n">
        <v>46314</v>
      </c>
      <c r="C987" s="2" t="s">
        <v>41</v>
      </c>
      <c r="D987" s="2" t="s">
        <v>38</v>
      </c>
      <c r="E987" s="2" t="s">
        <v>39</v>
      </c>
      <c r="F987" s="2" t="s">
        <v>70</v>
      </c>
      <c r="G987" s="2" t="s">
        <v>19</v>
      </c>
      <c r="H987" s="2" t="n">
        <v>96.5</v>
      </c>
      <c r="I987" s="2" t="n">
        <v>9.1</v>
      </c>
      <c r="J987" s="2" t="s">
        <v>20</v>
      </c>
      <c r="K987" s="2"/>
      <c r="L987" s="3" t="n">
        <f aca="false">B987-WEEKDAY(B987,2)+1</f>
        <v>46314</v>
      </c>
      <c r="M987" s="4" t="n">
        <f aca="false">IFERROR(INDEX(02_Parâmetros!$B$14:$B$17,MATCH(C987,02_Parâmetros!$A$14:$A$17,0)),"")</f>
        <v>240</v>
      </c>
      <c r="N987" s="2" t="str">
        <f aca="false">IF(OR(H987="",M987=""),"",IF(H987&lt;=M987,"Sim","Não"))</f>
        <v>Sim</v>
      </c>
    </row>
    <row r="988" customFormat="false" ht="15" hidden="false" customHeight="false" outlineLevel="0" collapsed="false">
      <c r="A988" s="2" t="s">
        <v>1025</v>
      </c>
      <c r="B988" s="3" t="n">
        <v>46314</v>
      </c>
      <c r="C988" s="2" t="s">
        <v>15</v>
      </c>
      <c r="D988" s="2" t="s">
        <v>22</v>
      </c>
      <c r="E988" s="2" t="s">
        <v>23</v>
      </c>
      <c r="F988" s="2" t="s">
        <v>18</v>
      </c>
      <c r="G988" s="2" t="s">
        <v>19</v>
      </c>
      <c r="H988" s="2" t="n">
        <v>0.8</v>
      </c>
      <c r="I988" s="2" t="n">
        <v>14.4</v>
      </c>
      <c r="J988" s="2" t="s">
        <v>20</v>
      </c>
      <c r="K988" s="2"/>
      <c r="L988" s="3" t="n">
        <f aca="false">B988-WEEKDAY(B988,2)+1</f>
        <v>46314</v>
      </c>
      <c r="M988" s="4" t="n">
        <f aca="false">IFERROR(INDEX(02_Parâmetros!$B$14:$B$17,MATCH(C988,02_Parâmetros!$A$14:$A$17,0)),"")</f>
        <v>1</v>
      </c>
      <c r="N988" s="2" t="str">
        <f aca="false">IF(OR(H988="",M988=""),"",IF(H988&lt;=M988,"Sim","Não"))</f>
        <v>Sim</v>
      </c>
    </row>
    <row r="989" customFormat="false" ht="15" hidden="false" customHeight="false" outlineLevel="0" collapsed="false">
      <c r="A989" s="2" t="s">
        <v>1026</v>
      </c>
      <c r="B989" s="3" t="n">
        <v>46315</v>
      </c>
      <c r="C989" s="2" t="s">
        <v>41</v>
      </c>
      <c r="D989" s="2" t="s">
        <v>22</v>
      </c>
      <c r="E989" s="2" t="s">
        <v>28</v>
      </c>
      <c r="F989" s="2" t="s">
        <v>42</v>
      </c>
      <c r="G989" s="2" t="s">
        <v>19</v>
      </c>
      <c r="H989" s="2" t="n">
        <v>223.4</v>
      </c>
      <c r="I989" s="2" t="n">
        <v>16.7</v>
      </c>
      <c r="J989" s="2" t="s">
        <v>25</v>
      </c>
      <c r="K989" s="2"/>
      <c r="L989" s="3" t="n">
        <f aca="false">B989-WEEKDAY(B989,2)+1</f>
        <v>46314</v>
      </c>
      <c r="M989" s="4" t="n">
        <f aca="false">IFERROR(INDEX(02_Parâmetros!$B$14:$B$17,MATCH(C989,02_Parâmetros!$A$14:$A$17,0)),"")</f>
        <v>240</v>
      </c>
      <c r="N989" s="2" t="str">
        <f aca="false">IF(OR(H989="",M989=""),"",IF(H989&lt;=M989,"Sim","Não"))</f>
        <v>Sim</v>
      </c>
    </row>
    <row r="990" customFormat="false" ht="15" hidden="false" customHeight="false" outlineLevel="0" collapsed="false">
      <c r="A990" s="2" t="s">
        <v>1027</v>
      </c>
      <c r="B990" s="3" t="n">
        <v>46315</v>
      </c>
      <c r="C990" s="2" t="s">
        <v>41</v>
      </c>
      <c r="D990" s="2" t="s">
        <v>38</v>
      </c>
      <c r="E990" s="2" t="s">
        <v>47</v>
      </c>
      <c r="F990" s="2" t="s">
        <v>70</v>
      </c>
      <c r="G990" s="2" t="s">
        <v>19</v>
      </c>
      <c r="H990" s="2" t="n">
        <v>172.1</v>
      </c>
      <c r="I990" s="2" t="n">
        <v>11.6</v>
      </c>
      <c r="J990" s="2" t="s">
        <v>25</v>
      </c>
      <c r="K990" s="2" t="n">
        <v>4</v>
      </c>
      <c r="L990" s="3" t="n">
        <f aca="false">B990-WEEKDAY(B990,2)+1</f>
        <v>46314</v>
      </c>
      <c r="M990" s="4" t="n">
        <f aca="false">IFERROR(INDEX(02_Parâmetros!$B$14:$B$17,MATCH(C990,02_Parâmetros!$A$14:$A$17,0)),"")</f>
        <v>240</v>
      </c>
      <c r="N990" s="2" t="str">
        <f aca="false">IF(OR(H990="",M990=""),"",IF(H990&lt;=M990,"Sim","Não"))</f>
        <v>Sim</v>
      </c>
    </row>
    <row r="991" customFormat="false" ht="15" hidden="false" customHeight="false" outlineLevel="0" collapsed="false">
      <c r="A991" s="2" t="s">
        <v>1028</v>
      </c>
      <c r="B991" s="3" t="n">
        <v>46315</v>
      </c>
      <c r="C991" s="2" t="s">
        <v>41</v>
      </c>
      <c r="D991" s="2" t="s">
        <v>38</v>
      </c>
      <c r="E991" s="2" t="s">
        <v>47</v>
      </c>
      <c r="F991" s="2" t="s">
        <v>18</v>
      </c>
      <c r="G991" s="2" t="s">
        <v>19</v>
      </c>
      <c r="H991" s="2" t="n">
        <v>138.7</v>
      </c>
      <c r="I991" s="2" t="n">
        <v>11.2</v>
      </c>
      <c r="J991" s="2" t="s">
        <v>25</v>
      </c>
      <c r="K991" s="2" t="n">
        <v>3</v>
      </c>
      <c r="L991" s="3" t="n">
        <f aca="false">B991-WEEKDAY(B991,2)+1</f>
        <v>46314</v>
      </c>
      <c r="M991" s="4" t="n">
        <f aca="false">IFERROR(INDEX(02_Parâmetros!$B$14:$B$17,MATCH(C991,02_Parâmetros!$A$14:$A$17,0)),"")</f>
        <v>240</v>
      </c>
      <c r="N991" s="2" t="str">
        <f aca="false">IF(OR(H991="",M991=""),"",IF(H991&lt;=M991,"Sim","Não"))</f>
        <v>Sim</v>
      </c>
    </row>
    <row r="992" customFormat="false" ht="15" hidden="false" customHeight="false" outlineLevel="0" collapsed="false">
      <c r="A992" s="2" t="s">
        <v>1029</v>
      </c>
      <c r="B992" s="3" t="n">
        <v>46315</v>
      </c>
      <c r="C992" s="2" t="s">
        <v>41</v>
      </c>
      <c r="D992" s="2" t="s">
        <v>16</v>
      </c>
      <c r="E992" s="2" t="s">
        <v>31</v>
      </c>
      <c r="F992" s="2" t="s">
        <v>70</v>
      </c>
      <c r="G992" s="2" t="s">
        <v>78</v>
      </c>
      <c r="H992" s="2" t="n">
        <v>105.2</v>
      </c>
      <c r="I992" s="2" t="n">
        <v>13.3</v>
      </c>
      <c r="J992" s="2"/>
      <c r="K992" s="2" t="n">
        <v>5</v>
      </c>
      <c r="L992" s="3" t="n">
        <f aca="false">B992-WEEKDAY(B992,2)+1</f>
        <v>46314</v>
      </c>
      <c r="M992" s="4" t="n">
        <f aca="false">IFERROR(INDEX(02_Parâmetros!$B$14:$B$17,MATCH(C992,02_Parâmetros!$A$14:$A$17,0)),"")</f>
        <v>240</v>
      </c>
      <c r="N992" s="2" t="str">
        <f aca="false">IF(OR(H992="",M992=""),"",IF(H992&lt;=M992,"Sim","Não"))</f>
        <v>Sim</v>
      </c>
    </row>
    <row r="993" customFormat="false" ht="15" hidden="false" customHeight="false" outlineLevel="0" collapsed="false">
      <c r="A993" s="2" t="s">
        <v>1030</v>
      </c>
      <c r="B993" s="3" t="n">
        <v>46315</v>
      </c>
      <c r="C993" s="2" t="s">
        <v>27</v>
      </c>
      <c r="D993" s="2" t="s">
        <v>16</v>
      </c>
      <c r="E993" s="2" t="s">
        <v>36</v>
      </c>
      <c r="F993" s="2" t="s">
        <v>24</v>
      </c>
      <c r="G993" s="2" t="s">
        <v>19</v>
      </c>
      <c r="H993" s="2" t="n">
        <v>4.1</v>
      </c>
      <c r="I993" s="2" t="n">
        <v>9</v>
      </c>
      <c r="J993" s="2" t="s">
        <v>25</v>
      </c>
      <c r="K993" s="2" t="n">
        <v>3</v>
      </c>
      <c r="L993" s="3" t="n">
        <f aca="false">B993-WEEKDAY(B993,2)+1</f>
        <v>46314</v>
      </c>
      <c r="M993" s="4" t="n">
        <f aca="false">IFERROR(INDEX(02_Parâmetros!$B$14:$B$17,MATCH(C993,02_Parâmetros!$A$14:$A$17,0)),"")</f>
        <v>10</v>
      </c>
      <c r="N993" s="2" t="str">
        <f aca="false">IF(OR(H993="",M993=""),"",IF(H993&lt;=M993,"Sim","Não"))</f>
        <v>Sim</v>
      </c>
    </row>
    <row r="994" customFormat="false" ht="15" hidden="false" customHeight="false" outlineLevel="0" collapsed="false">
      <c r="A994" s="2" t="s">
        <v>1031</v>
      </c>
      <c r="B994" s="3" t="n">
        <v>46315</v>
      </c>
      <c r="C994" s="2" t="s">
        <v>15</v>
      </c>
      <c r="D994" s="2" t="s">
        <v>38</v>
      </c>
      <c r="E994" s="2" t="s">
        <v>39</v>
      </c>
      <c r="F994" s="2" t="s">
        <v>24</v>
      </c>
      <c r="G994" s="2" t="s">
        <v>19</v>
      </c>
      <c r="H994" s="2" t="n">
        <v>0.3</v>
      </c>
      <c r="I994" s="2" t="n">
        <v>9.9</v>
      </c>
      <c r="J994" s="2" t="s">
        <v>20</v>
      </c>
      <c r="K994" s="2" t="n">
        <v>5</v>
      </c>
      <c r="L994" s="3" t="n">
        <f aca="false">B994-WEEKDAY(B994,2)+1</f>
        <v>46314</v>
      </c>
      <c r="M994" s="4" t="n">
        <f aca="false">IFERROR(INDEX(02_Parâmetros!$B$14:$B$17,MATCH(C994,02_Parâmetros!$A$14:$A$17,0)),"")</f>
        <v>1</v>
      </c>
      <c r="N994" s="2" t="str">
        <f aca="false">IF(OR(H994="",M994=""),"",IF(H994&lt;=M994,"Sim","Não"))</f>
        <v>Sim</v>
      </c>
    </row>
    <row r="995" customFormat="false" ht="15" hidden="false" customHeight="false" outlineLevel="0" collapsed="false">
      <c r="A995" s="2" t="s">
        <v>1032</v>
      </c>
      <c r="B995" s="3" t="n">
        <v>46315</v>
      </c>
      <c r="C995" s="2" t="s">
        <v>27</v>
      </c>
      <c r="D995" s="2" t="s">
        <v>16</v>
      </c>
      <c r="E995" s="2" t="s">
        <v>31</v>
      </c>
      <c r="F995" s="2" t="s">
        <v>18</v>
      </c>
      <c r="G995" s="2" t="s">
        <v>19</v>
      </c>
      <c r="H995" s="2" t="n">
        <v>7.7</v>
      </c>
      <c r="I995" s="2" t="n">
        <v>6.3</v>
      </c>
      <c r="J995" s="2" t="s">
        <v>20</v>
      </c>
      <c r="K995" s="2"/>
      <c r="L995" s="3" t="n">
        <f aca="false">B995-WEEKDAY(B995,2)+1</f>
        <v>46314</v>
      </c>
      <c r="M995" s="4" t="n">
        <f aca="false">IFERROR(INDEX(02_Parâmetros!$B$14:$B$17,MATCH(C995,02_Parâmetros!$A$14:$A$17,0)),"")</f>
        <v>10</v>
      </c>
      <c r="N995" s="2" t="str">
        <f aca="false">IF(OR(H995="",M995=""),"",IF(H995&lt;=M995,"Sim","Não"))</f>
        <v>Sim</v>
      </c>
    </row>
    <row r="996" customFormat="false" ht="15" hidden="false" customHeight="false" outlineLevel="0" collapsed="false">
      <c r="A996" s="2" t="s">
        <v>1033</v>
      </c>
      <c r="B996" s="3" t="n">
        <v>46315</v>
      </c>
      <c r="C996" s="2" t="s">
        <v>44</v>
      </c>
      <c r="D996" s="2" t="s">
        <v>38</v>
      </c>
      <c r="E996" s="2" t="s">
        <v>56</v>
      </c>
      <c r="F996" s="2" t="s">
        <v>18</v>
      </c>
      <c r="G996" s="2" t="s">
        <v>19</v>
      </c>
      <c r="H996" s="2" t="n">
        <v>0.9</v>
      </c>
      <c r="I996" s="2" t="n">
        <v>9.2</v>
      </c>
      <c r="J996" s="2" t="s">
        <v>20</v>
      </c>
      <c r="K996" s="2"/>
      <c r="L996" s="3" t="n">
        <f aca="false">B996-WEEKDAY(B996,2)+1</f>
        <v>46314</v>
      </c>
      <c r="M996" s="4" t="n">
        <f aca="false">IFERROR(INDEX(02_Parâmetros!$B$14:$B$17,MATCH(C996,02_Parâmetros!$A$14:$A$17,0)),"")</f>
        <v>2</v>
      </c>
      <c r="N996" s="2" t="str">
        <f aca="false">IF(OR(H996="",M996=""),"",IF(H996&lt;=M996,"Sim","Não"))</f>
        <v>Sim</v>
      </c>
    </row>
    <row r="997" customFormat="false" ht="15" hidden="false" customHeight="false" outlineLevel="0" collapsed="false">
      <c r="A997" s="2" t="s">
        <v>1034</v>
      </c>
      <c r="B997" s="3" t="n">
        <v>46315</v>
      </c>
      <c r="C997" s="2" t="s">
        <v>44</v>
      </c>
      <c r="D997" s="2" t="s">
        <v>38</v>
      </c>
      <c r="E997" s="2" t="s">
        <v>47</v>
      </c>
      <c r="F997" s="2" t="s">
        <v>42</v>
      </c>
      <c r="G997" s="2" t="s">
        <v>19</v>
      </c>
      <c r="H997" s="2" t="n">
        <v>0.7</v>
      </c>
      <c r="I997" s="2" t="n">
        <v>6.3</v>
      </c>
      <c r="J997" s="2" t="s">
        <v>20</v>
      </c>
      <c r="K997" s="2" t="n">
        <v>4</v>
      </c>
      <c r="L997" s="3" t="n">
        <f aca="false">B997-WEEKDAY(B997,2)+1</f>
        <v>46314</v>
      </c>
      <c r="M997" s="4" t="n">
        <f aca="false">IFERROR(INDEX(02_Parâmetros!$B$14:$B$17,MATCH(C997,02_Parâmetros!$A$14:$A$17,0)),"")</f>
        <v>2</v>
      </c>
      <c r="N997" s="2" t="str">
        <f aca="false">IF(OR(H997="",M997=""),"",IF(H997&lt;=M997,"Sim","Não"))</f>
        <v>Sim</v>
      </c>
    </row>
    <row r="998" customFormat="false" ht="15" hidden="false" customHeight="false" outlineLevel="0" collapsed="false">
      <c r="A998" s="2" t="s">
        <v>1035</v>
      </c>
      <c r="B998" s="3" t="n">
        <v>46315</v>
      </c>
      <c r="C998" s="2" t="s">
        <v>41</v>
      </c>
      <c r="D998" s="2" t="s">
        <v>38</v>
      </c>
      <c r="E998" s="2" t="s">
        <v>56</v>
      </c>
      <c r="F998" s="2" t="s">
        <v>24</v>
      </c>
      <c r="G998" s="2" t="s">
        <v>19</v>
      </c>
      <c r="H998" s="2" t="n">
        <v>106.9</v>
      </c>
      <c r="I998" s="2" t="n">
        <v>11.8</v>
      </c>
      <c r="J998" s="2" t="s">
        <v>20</v>
      </c>
      <c r="K998" s="2"/>
      <c r="L998" s="3" t="n">
        <f aca="false">B998-WEEKDAY(B998,2)+1</f>
        <v>46314</v>
      </c>
      <c r="M998" s="4" t="n">
        <f aca="false">IFERROR(INDEX(02_Parâmetros!$B$14:$B$17,MATCH(C998,02_Parâmetros!$A$14:$A$17,0)),"")</f>
        <v>240</v>
      </c>
      <c r="N998" s="2" t="str">
        <f aca="false">IF(OR(H998="",M998=""),"",IF(H998&lt;=M998,"Sim","Não"))</f>
        <v>Sim</v>
      </c>
    </row>
    <row r="999" customFormat="false" ht="15" hidden="false" customHeight="false" outlineLevel="0" collapsed="false">
      <c r="A999" s="2" t="s">
        <v>1036</v>
      </c>
      <c r="B999" s="3" t="n">
        <v>46315</v>
      </c>
      <c r="C999" s="2" t="s">
        <v>41</v>
      </c>
      <c r="D999" s="2" t="s">
        <v>38</v>
      </c>
      <c r="E999" s="2" t="s">
        <v>39</v>
      </c>
      <c r="F999" s="2" t="s">
        <v>34</v>
      </c>
      <c r="G999" s="2" t="s">
        <v>19</v>
      </c>
      <c r="H999" s="2" t="n">
        <v>141.6</v>
      </c>
      <c r="I999" s="2" t="n">
        <v>11.3</v>
      </c>
      <c r="J999" s="2" t="s">
        <v>20</v>
      </c>
      <c r="K999" s="2"/>
      <c r="L999" s="3" t="n">
        <f aca="false">B999-WEEKDAY(B999,2)+1</f>
        <v>46314</v>
      </c>
      <c r="M999" s="4" t="n">
        <f aca="false">IFERROR(INDEX(02_Parâmetros!$B$14:$B$17,MATCH(C999,02_Parâmetros!$A$14:$A$17,0)),"")</f>
        <v>240</v>
      </c>
      <c r="N999" s="2" t="str">
        <f aca="false">IF(OR(H999="",M999=""),"",IF(H999&lt;=M999,"Sim","Não"))</f>
        <v>Sim</v>
      </c>
    </row>
    <row r="1000" customFormat="false" ht="15" hidden="false" customHeight="false" outlineLevel="0" collapsed="false">
      <c r="A1000" s="2" t="s">
        <v>1037</v>
      </c>
      <c r="B1000" s="3" t="n">
        <v>46315</v>
      </c>
      <c r="C1000" s="2" t="s">
        <v>15</v>
      </c>
      <c r="D1000" s="2" t="s">
        <v>16</v>
      </c>
      <c r="E1000" s="2" t="s">
        <v>31</v>
      </c>
      <c r="F1000" s="2" t="s">
        <v>24</v>
      </c>
      <c r="G1000" s="2" t="s">
        <v>19</v>
      </c>
      <c r="H1000" s="2" t="n">
        <v>0.8</v>
      </c>
      <c r="I1000" s="2" t="n">
        <v>18.3</v>
      </c>
      <c r="J1000" s="2" t="s">
        <v>20</v>
      </c>
      <c r="K1000" s="2"/>
      <c r="L1000" s="3" t="n">
        <f aca="false">B1000-WEEKDAY(B1000,2)+1</f>
        <v>46314</v>
      </c>
      <c r="M1000" s="4" t="n">
        <f aca="false">IFERROR(INDEX(02_Parâmetros!$B$14:$B$17,MATCH(C1000,02_Parâmetros!$A$14:$A$17,0)),"")</f>
        <v>1</v>
      </c>
      <c r="N1000" s="2" t="str">
        <f aca="false">IF(OR(H1000="",M1000=""),"",IF(H1000&lt;=M1000,"Sim","Não"))</f>
        <v>Sim</v>
      </c>
    </row>
    <row r="1001" customFormat="false" ht="15" hidden="false" customHeight="false" outlineLevel="0" collapsed="false">
      <c r="A1001" s="2" t="s">
        <v>1038</v>
      </c>
      <c r="B1001" s="3" t="n">
        <v>46315</v>
      </c>
      <c r="C1001" s="2" t="s">
        <v>27</v>
      </c>
      <c r="D1001" s="2" t="s">
        <v>16</v>
      </c>
      <c r="E1001" s="2" t="s">
        <v>31</v>
      </c>
      <c r="F1001" s="2" t="s">
        <v>32</v>
      </c>
      <c r="G1001" s="2" t="s">
        <v>19</v>
      </c>
      <c r="H1001" s="2" t="n">
        <v>27.5</v>
      </c>
      <c r="I1001" s="2" t="n">
        <v>3.5</v>
      </c>
      <c r="J1001" s="2" t="s">
        <v>20</v>
      </c>
      <c r="K1001" s="2" t="n">
        <v>5</v>
      </c>
      <c r="L1001" s="3" t="n">
        <f aca="false">B1001-WEEKDAY(B1001,2)+1</f>
        <v>46314</v>
      </c>
      <c r="M1001" s="4" t="n">
        <f aca="false">IFERROR(INDEX(02_Parâmetros!$B$14:$B$17,MATCH(C1001,02_Parâmetros!$A$14:$A$17,0)),"")</f>
        <v>10</v>
      </c>
      <c r="N1001" s="2" t="str">
        <f aca="false">IF(OR(H1001="",M1001=""),"",IF(H1001&lt;=M1001,"Sim","Não"))</f>
        <v>Não</v>
      </c>
    </row>
    <row r="1002" customFormat="false" ht="15" hidden="false" customHeight="false" outlineLevel="0" collapsed="false">
      <c r="A1002" s="2" t="s">
        <v>1039</v>
      </c>
      <c r="B1002" s="3" t="n">
        <v>46315</v>
      </c>
      <c r="C1002" s="2" t="s">
        <v>27</v>
      </c>
      <c r="D1002" s="2" t="s">
        <v>22</v>
      </c>
      <c r="E1002" s="2" t="s">
        <v>28</v>
      </c>
      <c r="F1002" s="2" t="s">
        <v>70</v>
      </c>
      <c r="G1002" s="2" t="s">
        <v>19</v>
      </c>
      <c r="H1002" s="2" t="n">
        <v>3.4</v>
      </c>
      <c r="I1002" s="2" t="n">
        <v>5.8</v>
      </c>
      <c r="J1002" s="2" t="s">
        <v>25</v>
      </c>
      <c r="K1002" s="2" t="n">
        <v>2</v>
      </c>
      <c r="L1002" s="3" t="n">
        <f aca="false">B1002-WEEKDAY(B1002,2)+1</f>
        <v>46314</v>
      </c>
      <c r="M1002" s="4" t="n">
        <f aca="false">IFERROR(INDEX(02_Parâmetros!$B$14:$B$17,MATCH(C1002,02_Parâmetros!$A$14:$A$17,0)),"")</f>
        <v>10</v>
      </c>
      <c r="N1002" s="2" t="str">
        <f aca="false">IF(OR(H1002="",M1002=""),"",IF(H1002&lt;=M1002,"Sim","Não"))</f>
        <v>Sim</v>
      </c>
    </row>
    <row r="1003" customFormat="false" ht="15" hidden="false" customHeight="false" outlineLevel="0" collapsed="false">
      <c r="A1003" s="2" t="s">
        <v>1040</v>
      </c>
      <c r="B1003" s="3" t="n">
        <v>46315</v>
      </c>
      <c r="C1003" s="2" t="s">
        <v>15</v>
      </c>
      <c r="D1003" s="2" t="s">
        <v>16</v>
      </c>
      <c r="E1003" s="2" t="s">
        <v>17</v>
      </c>
      <c r="F1003" s="2" t="s">
        <v>24</v>
      </c>
      <c r="G1003" s="2" t="s">
        <v>19</v>
      </c>
      <c r="H1003" s="2" t="n">
        <v>0.5</v>
      </c>
      <c r="I1003" s="2" t="n">
        <v>24.8</v>
      </c>
      <c r="J1003" s="2" t="s">
        <v>20</v>
      </c>
      <c r="K1003" s="2" t="n">
        <v>4</v>
      </c>
      <c r="L1003" s="3" t="n">
        <f aca="false">B1003-WEEKDAY(B1003,2)+1</f>
        <v>46314</v>
      </c>
      <c r="M1003" s="4" t="n">
        <f aca="false">IFERROR(INDEX(02_Parâmetros!$B$14:$B$17,MATCH(C1003,02_Parâmetros!$A$14:$A$17,0)),"")</f>
        <v>1</v>
      </c>
      <c r="N1003" s="2" t="str">
        <f aca="false">IF(OR(H1003="",M1003=""),"",IF(H1003&lt;=M1003,"Sim","Não"))</f>
        <v>Sim</v>
      </c>
    </row>
    <row r="1004" customFormat="false" ht="15" hidden="false" customHeight="false" outlineLevel="0" collapsed="false">
      <c r="A1004" s="2" t="s">
        <v>1041</v>
      </c>
      <c r="B1004" s="3" t="n">
        <v>46315</v>
      </c>
      <c r="C1004" s="2" t="s">
        <v>41</v>
      </c>
      <c r="D1004" s="2" t="s">
        <v>16</v>
      </c>
      <c r="E1004" s="2" t="s">
        <v>17</v>
      </c>
      <c r="F1004" s="2" t="s">
        <v>42</v>
      </c>
      <c r="G1004" s="2" t="s">
        <v>19</v>
      </c>
      <c r="H1004" s="2" t="n">
        <v>100.3</v>
      </c>
      <c r="I1004" s="2" t="n">
        <v>11.9</v>
      </c>
      <c r="J1004" s="2" t="s">
        <v>25</v>
      </c>
      <c r="K1004" s="2"/>
      <c r="L1004" s="3" t="n">
        <f aca="false">B1004-WEEKDAY(B1004,2)+1</f>
        <v>46314</v>
      </c>
      <c r="M1004" s="4" t="n">
        <f aca="false">IFERROR(INDEX(02_Parâmetros!$B$14:$B$17,MATCH(C1004,02_Parâmetros!$A$14:$A$17,0)),"")</f>
        <v>240</v>
      </c>
      <c r="N1004" s="2" t="str">
        <f aca="false">IF(OR(H1004="",M1004=""),"",IF(H1004&lt;=M1004,"Sim","Não"))</f>
        <v>Sim</v>
      </c>
    </row>
    <row r="1005" customFormat="false" ht="15" hidden="false" customHeight="false" outlineLevel="0" collapsed="false">
      <c r="A1005" s="2" t="s">
        <v>1042</v>
      </c>
      <c r="B1005" s="3" t="n">
        <v>46315</v>
      </c>
      <c r="C1005" s="2" t="s">
        <v>41</v>
      </c>
      <c r="D1005" s="2" t="s">
        <v>38</v>
      </c>
      <c r="E1005" s="2" t="s">
        <v>39</v>
      </c>
      <c r="F1005" s="2" t="s">
        <v>32</v>
      </c>
      <c r="G1005" s="2" t="s">
        <v>19</v>
      </c>
      <c r="H1005" s="2" t="n">
        <v>148.3</v>
      </c>
      <c r="I1005" s="2" t="n">
        <v>6.2</v>
      </c>
      <c r="J1005" s="2" t="s">
        <v>20</v>
      </c>
      <c r="K1005" s="2"/>
      <c r="L1005" s="3" t="n">
        <f aca="false">B1005-WEEKDAY(B1005,2)+1</f>
        <v>46314</v>
      </c>
      <c r="M1005" s="4" t="n">
        <f aca="false">IFERROR(INDEX(02_Parâmetros!$B$14:$B$17,MATCH(C1005,02_Parâmetros!$A$14:$A$17,0)),"")</f>
        <v>240</v>
      </c>
      <c r="N1005" s="2" t="str">
        <f aca="false">IF(OR(H1005="",M1005=""),"",IF(H1005&lt;=M1005,"Sim","Não"))</f>
        <v>Sim</v>
      </c>
    </row>
    <row r="1006" customFormat="false" ht="15" hidden="false" customHeight="false" outlineLevel="0" collapsed="false">
      <c r="A1006" s="2" t="s">
        <v>1043</v>
      </c>
      <c r="B1006" s="3" t="n">
        <v>46315</v>
      </c>
      <c r="C1006" s="2" t="s">
        <v>41</v>
      </c>
      <c r="D1006" s="2" t="s">
        <v>38</v>
      </c>
      <c r="E1006" s="2" t="s">
        <v>47</v>
      </c>
      <c r="F1006" s="2" t="s">
        <v>18</v>
      </c>
      <c r="G1006" s="2" t="s">
        <v>19</v>
      </c>
      <c r="H1006" s="2" t="n">
        <v>224.4</v>
      </c>
      <c r="I1006" s="2" t="n">
        <v>13.4</v>
      </c>
      <c r="J1006" s="2" t="s">
        <v>20</v>
      </c>
      <c r="K1006" s="2"/>
      <c r="L1006" s="3" t="n">
        <f aca="false">B1006-WEEKDAY(B1006,2)+1</f>
        <v>46314</v>
      </c>
      <c r="M1006" s="4" t="n">
        <f aca="false">IFERROR(INDEX(02_Parâmetros!$B$14:$B$17,MATCH(C1006,02_Parâmetros!$A$14:$A$17,0)),"")</f>
        <v>240</v>
      </c>
      <c r="N1006" s="2" t="str">
        <f aca="false">IF(OR(H1006="",M1006=""),"",IF(H1006&lt;=M1006,"Sim","Não"))</f>
        <v>Sim</v>
      </c>
    </row>
    <row r="1007" customFormat="false" ht="15" hidden="false" customHeight="false" outlineLevel="0" collapsed="false">
      <c r="A1007" s="2" t="s">
        <v>1044</v>
      </c>
      <c r="B1007" s="3" t="n">
        <v>46315</v>
      </c>
      <c r="C1007" s="2" t="s">
        <v>15</v>
      </c>
      <c r="D1007" s="2" t="s">
        <v>16</v>
      </c>
      <c r="E1007" s="2" t="s">
        <v>17</v>
      </c>
      <c r="F1007" s="2" t="s">
        <v>70</v>
      </c>
      <c r="G1007" s="2" t="s">
        <v>19</v>
      </c>
      <c r="H1007" s="2" t="n">
        <v>0.4</v>
      </c>
      <c r="I1007" s="2" t="n">
        <v>10.4</v>
      </c>
      <c r="J1007" s="2" t="s">
        <v>20</v>
      </c>
      <c r="K1007" s="2"/>
      <c r="L1007" s="3" t="n">
        <f aca="false">B1007-WEEKDAY(B1007,2)+1</f>
        <v>46314</v>
      </c>
      <c r="M1007" s="4" t="n">
        <f aca="false">IFERROR(INDEX(02_Parâmetros!$B$14:$B$17,MATCH(C1007,02_Parâmetros!$A$14:$A$17,0)),"")</f>
        <v>1</v>
      </c>
      <c r="N1007" s="2" t="str">
        <f aca="false">IF(OR(H1007="",M1007=""),"",IF(H1007&lt;=M1007,"Sim","Não"))</f>
        <v>Sim</v>
      </c>
    </row>
    <row r="1008" customFormat="false" ht="15" hidden="false" customHeight="false" outlineLevel="0" collapsed="false">
      <c r="A1008" s="2" t="s">
        <v>1045</v>
      </c>
      <c r="B1008" s="3" t="n">
        <v>46315</v>
      </c>
      <c r="C1008" s="2" t="s">
        <v>44</v>
      </c>
      <c r="D1008" s="2" t="s">
        <v>16</v>
      </c>
      <c r="E1008" s="2" t="s">
        <v>31</v>
      </c>
      <c r="F1008" s="2" t="s">
        <v>42</v>
      </c>
      <c r="G1008" s="2" t="s">
        <v>19</v>
      </c>
      <c r="H1008" s="2" t="n">
        <v>1.9</v>
      </c>
      <c r="I1008" s="2" t="n">
        <v>8.1</v>
      </c>
      <c r="J1008" s="2" t="s">
        <v>25</v>
      </c>
      <c r="K1008" s="2"/>
      <c r="L1008" s="3" t="n">
        <f aca="false">B1008-WEEKDAY(B1008,2)+1</f>
        <v>46314</v>
      </c>
      <c r="M1008" s="4" t="n">
        <f aca="false">IFERROR(INDEX(02_Parâmetros!$B$14:$B$17,MATCH(C1008,02_Parâmetros!$A$14:$A$17,0)),"")</f>
        <v>2</v>
      </c>
      <c r="N1008" s="2" t="str">
        <f aca="false">IF(OR(H1008="",M1008=""),"",IF(H1008&lt;=M1008,"Sim","Não"))</f>
        <v>Sim</v>
      </c>
    </row>
    <row r="1009" customFormat="false" ht="15" hidden="false" customHeight="false" outlineLevel="0" collapsed="false">
      <c r="A1009" s="2" t="s">
        <v>1046</v>
      </c>
      <c r="B1009" s="3" t="n">
        <v>46315</v>
      </c>
      <c r="C1009" s="2" t="s">
        <v>27</v>
      </c>
      <c r="D1009" s="2" t="s">
        <v>22</v>
      </c>
      <c r="E1009" s="2" t="s">
        <v>28</v>
      </c>
      <c r="F1009" s="2" t="s">
        <v>24</v>
      </c>
      <c r="G1009" s="2" t="s">
        <v>19</v>
      </c>
      <c r="H1009" s="2" t="n">
        <v>8.9</v>
      </c>
      <c r="I1009" s="2" t="n">
        <v>11.1</v>
      </c>
      <c r="J1009" s="2" t="s">
        <v>20</v>
      </c>
      <c r="K1009" s="2" t="n">
        <v>4</v>
      </c>
      <c r="L1009" s="3" t="n">
        <f aca="false">B1009-WEEKDAY(B1009,2)+1</f>
        <v>46314</v>
      </c>
      <c r="M1009" s="4" t="n">
        <f aca="false">IFERROR(INDEX(02_Parâmetros!$B$14:$B$17,MATCH(C1009,02_Parâmetros!$A$14:$A$17,0)),"")</f>
        <v>10</v>
      </c>
      <c r="N1009" s="2" t="str">
        <f aca="false">IF(OR(H1009="",M1009=""),"",IF(H1009&lt;=M1009,"Sim","Não"))</f>
        <v>Sim</v>
      </c>
    </row>
    <row r="1010" customFormat="false" ht="15" hidden="false" customHeight="false" outlineLevel="0" collapsed="false">
      <c r="A1010" s="2" t="s">
        <v>1047</v>
      </c>
      <c r="B1010" s="3" t="n">
        <v>46316</v>
      </c>
      <c r="C1010" s="2" t="s">
        <v>44</v>
      </c>
      <c r="D1010" s="2" t="s">
        <v>22</v>
      </c>
      <c r="E1010" s="2" t="s">
        <v>28</v>
      </c>
      <c r="F1010" s="2" t="s">
        <v>18</v>
      </c>
      <c r="G1010" s="2" t="s">
        <v>19</v>
      </c>
      <c r="H1010" s="2" t="n">
        <v>1.1</v>
      </c>
      <c r="I1010" s="2" t="n">
        <v>13.5</v>
      </c>
      <c r="J1010" s="2" t="s">
        <v>20</v>
      </c>
      <c r="K1010" s="2"/>
      <c r="L1010" s="3" t="n">
        <f aca="false">B1010-WEEKDAY(B1010,2)+1</f>
        <v>46314</v>
      </c>
      <c r="M1010" s="4" t="n">
        <f aca="false">IFERROR(INDEX(02_Parâmetros!$B$14:$B$17,MATCH(C1010,02_Parâmetros!$A$14:$A$17,0)),"")</f>
        <v>2</v>
      </c>
      <c r="N1010" s="2" t="str">
        <f aca="false">IF(OR(H1010="",M1010=""),"",IF(H1010&lt;=M1010,"Sim","Não"))</f>
        <v>Sim</v>
      </c>
    </row>
    <row r="1011" customFormat="false" ht="15" hidden="false" customHeight="false" outlineLevel="0" collapsed="false">
      <c r="A1011" s="2" t="s">
        <v>1048</v>
      </c>
      <c r="B1011" s="3" t="n">
        <v>46316</v>
      </c>
      <c r="C1011" s="2" t="s">
        <v>44</v>
      </c>
      <c r="D1011" s="2" t="s">
        <v>22</v>
      </c>
      <c r="E1011" s="2" t="s">
        <v>23</v>
      </c>
      <c r="F1011" s="2" t="s">
        <v>18</v>
      </c>
      <c r="G1011" s="2" t="s">
        <v>19</v>
      </c>
      <c r="H1011" s="2" t="n">
        <v>1.2</v>
      </c>
      <c r="I1011" s="2" t="n">
        <v>9.3</v>
      </c>
      <c r="J1011" s="2" t="s">
        <v>20</v>
      </c>
      <c r="K1011" s="2"/>
      <c r="L1011" s="3" t="n">
        <f aca="false">B1011-WEEKDAY(B1011,2)+1</f>
        <v>46314</v>
      </c>
      <c r="M1011" s="4" t="n">
        <f aca="false">IFERROR(INDEX(02_Parâmetros!$B$14:$B$17,MATCH(C1011,02_Parâmetros!$A$14:$A$17,0)),"")</f>
        <v>2</v>
      </c>
      <c r="N1011" s="2" t="str">
        <f aca="false">IF(OR(H1011="",M1011=""),"",IF(H1011&lt;=M1011,"Sim","Não"))</f>
        <v>Sim</v>
      </c>
    </row>
    <row r="1012" customFormat="false" ht="15" hidden="false" customHeight="false" outlineLevel="0" collapsed="false">
      <c r="A1012" s="2" t="s">
        <v>1049</v>
      </c>
      <c r="B1012" s="3" t="n">
        <v>46316</v>
      </c>
      <c r="C1012" s="2" t="s">
        <v>44</v>
      </c>
      <c r="D1012" s="2" t="s">
        <v>16</v>
      </c>
      <c r="E1012" s="2" t="s">
        <v>17</v>
      </c>
      <c r="F1012" s="2" t="s">
        <v>32</v>
      </c>
      <c r="G1012" s="2" t="s">
        <v>19</v>
      </c>
      <c r="H1012" s="2"/>
      <c r="I1012" s="2" t="n">
        <v>5.7</v>
      </c>
      <c r="J1012" s="2" t="s">
        <v>20</v>
      </c>
      <c r="K1012" s="2" t="n">
        <v>4</v>
      </c>
      <c r="L1012" s="3" t="n">
        <f aca="false">B1012-WEEKDAY(B1012,2)+1</f>
        <v>46314</v>
      </c>
      <c r="M1012" s="4" t="n">
        <f aca="false">IFERROR(INDEX(02_Parâmetros!$B$14:$B$17,MATCH(C1012,02_Parâmetros!$A$14:$A$17,0)),"")</f>
        <v>2</v>
      </c>
      <c r="N1012" s="2" t="str">
        <f aca="false">IF(OR(H1012="",M1012=""),"",IF(H1012&lt;=M1012,"Sim","Não"))</f>
        <v/>
      </c>
    </row>
    <row r="1013" customFormat="false" ht="15" hidden="false" customHeight="false" outlineLevel="0" collapsed="false">
      <c r="A1013" s="2" t="s">
        <v>1050</v>
      </c>
      <c r="B1013" s="3" t="n">
        <v>46316</v>
      </c>
      <c r="C1013" s="2" t="s">
        <v>41</v>
      </c>
      <c r="D1013" s="2" t="s">
        <v>22</v>
      </c>
      <c r="E1013" s="2" t="s">
        <v>23</v>
      </c>
      <c r="F1013" s="2" t="s">
        <v>18</v>
      </c>
      <c r="G1013" s="2" t="s">
        <v>19</v>
      </c>
      <c r="H1013" s="2" t="n">
        <v>141.5</v>
      </c>
      <c r="I1013" s="2" t="n">
        <v>16.7</v>
      </c>
      <c r="J1013" s="2" t="s">
        <v>25</v>
      </c>
      <c r="K1013" s="2"/>
      <c r="L1013" s="3" t="n">
        <f aca="false">B1013-WEEKDAY(B1013,2)+1</f>
        <v>46314</v>
      </c>
      <c r="M1013" s="4" t="n">
        <f aca="false">IFERROR(INDEX(02_Parâmetros!$B$14:$B$17,MATCH(C1013,02_Parâmetros!$A$14:$A$17,0)),"")</f>
        <v>240</v>
      </c>
      <c r="N1013" s="2" t="str">
        <f aca="false">IF(OR(H1013="",M1013=""),"",IF(H1013&lt;=M1013,"Sim","Não"))</f>
        <v>Sim</v>
      </c>
    </row>
    <row r="1014" customFormat="false" ht="15" hidden="false" customHeight="false" outlineLevel="0" collapsed="false">
      <c r="A1014" s="2" t="s">
        <v>1051</v>
      </c>
      <c r="B1014" s="3" t="n">
        <v>46316</v>
      </c>
      <c r="C1014" s="2" t="s">
        <v>15</v>
      </c>
      <c r="D1014" s="2" t="s">
        <v>38</v>
      </c>
      <c r="E1014" s="2" t="s">
        <v>56</v>
      </c>
      <c r="F1014" s="2" t="s">
        <v>70</v>
      </c>
      <c r="G1014" s="2" t="s">
        <v>19</v>
      </c>
      <c r="H1014" s="2" t="n">
        <v>0.8</v>
      </c>
      <c r="I1014" s="2" t="n">
        <v>8</v>
      </c>
      <c r="J1014" s="2" t="s">
        <v>20</v>
      </c>
      <c r="K1014" s="2" t="n">
        <v>5</v>
      </c>
      <c r="L1014" s="3" t="n">
        <f aca="false">B1014-WEEKDAY(B1014,2)+1</f>
        <v>46314</v>
      </c>
      <c r="M1014" s="4" t="n">
        <f aca="false">IFERROR(INDEX(02_Parâmetros!$B$14:$B$17,MATCH(C1014,02_Parâmetros!$A$14:$A$17,0)),"")</f>
        <v>1</v>
      </c>
      <c r="N1014" s="2" t="str">
        <f aca="false">IF(OR(H1014="",M1014=""),"",IF(H1014&lt;=M1014,"Sim","Não"))</f>
        <v>Sim</v>
      </c>
    </row>
    <row r="1015" customFormat="false" ht="15" hidden="false" customHeight="false" outlineLevel="0" collapsed="false">
      <c r="A1015" s="2" t="s">
        <v>1052</v>
      </c>
      <c r="B1015" s="3" t="n">
        <v>46316</v>
      </c>
      <c r="C1015" s="2" t="s">
        <v>27</v>
      </c>
      <c r="D1015" s="2" t="s">
        <v>38</v>
      </c>
      <c r="E1015" s="2" t="s">
        <v>39</v>
      </c>
      <c r="F1015" s="2" t="s">
        <v>32</v>
      </c>
      <c r="G1015" s="2" t="s">
        <v>19</v>
      </c>
      <c r="H1015" s="2" t="n">
        <v>3.8</v>
      </c>
      <c r="I1015" s="2" t="n">
        <v>8.1</v>
      </c>
      <c r="J1015" s="2" t="s">
        <v>20</v>
      </c>
      <c r="K1015" s="2"/>
      <c r="L1015" s="3" t="n">
        <f aca="false">B1015-WEEKDAY(B1015,2)+1</f>
        <v>46314</v>
      </c>
      <c r="M1015" s="4" t="n">
        <f aca="false">IFERROR(INDEX(02_Parâmetros!$B$14:$B$17,MATCH(C1015,02_Parâmetros!$A$14:$A$17,0)),"")</f>
        <v>10</v>
      </c>
      <c r="N1015" s="2" t="str">
        <f aca="false">IF(OR(H1015="",M1015=""),"",IF(H1015&lt;=M1015,"Sim","Não"))</f>
        <v>Sim</v>
      </c>
    </row>
    <row r="1016" customFormat="false" ht="15" hidden="false" customHeight="false" outlineLevel="0" collapsed="false">
      <c r="A1016" s="2" t="s">
        <v>1053</v>
      </c>
      <c r="B1016" s="3" t="n">
        <v>46316</v>
      </c>
      <c r="C1016" s="2" t="s">
        <v>44</v>
      </c>
      <c r="D1016" s="2" t="s">
        <v>16</v>
      </c>
      <c r="E1016" s="2" t="s">
        <v>31</v>
      </c>
      <c r="F1016" s="2" t="s">
        <v>32</v>
      </c>
      <c r="G1016" s="2" t="s">
        <v>19</v>
      </c>
      <c r="H1016" s="2" t="n">
        <v>2</v>
      </c>
      <c r="I1016" s="2" t="n">
        <v>5.3</v>
      </c>
      <c r="J1016" s="2" t="s">
        <v>20</v>
      </c>
      <c r="K1016" s="2"/>
      <c r="L1016" s="3" t="n">
        <f aca="false">B1016-WEEKDAY(B1016,2)+1</f>
        <v>46314</v>
      </c>
      <c r="M1016" s="4" t="n">
        <f aca="false">IFERROR(INDEX(02_Parâmetros!$B$14:$B$17,MATCH(C1016,02_Parâmetros!$A$14:$A$17,0)),"")</f>
        <v>2</v>
      </c>
      <c r="N1016" s="2" t="str">
        <f aca="false">IF(OR(H1016="",M1016=""),"",IF(H1016&lt;=M1016,"Sim","Não"))</f>
        <v>Sim</v>
      </c>
    </row>
    <row r="1017" customFormat="false" ht="15" hidden="false" customHeight="false" outlineLevel="0" collapsed="false">
      <c r="A1017" s="2" t="s">
        <v>1054</v>
      </c>
      <c r="B1017" s="3" t="n">
        <v>46316</v>
      </c>
      <c r="C1017" s="2" t="s">
        <v>41</v>
      </c>
      <c r="D1017" s="2" t="s">
        <v>16</v>
      </c>
      <c r="E1017" s="2" t="s">
        <v>36</v>
      </c>
      <c r="F1017" s="2" t="s">
        <v>42</v>
      </c>
      <c r="G1017" s="2" t="s">
        <v>19</v>
      </c>
      <c r="H1017" s="2" t="n">
        <v>188.7</v>
      </c>
      <c r="I1017" s="2" t="n">
        <v>8.4</v>
      </c>
      <c r="J1017" s="2" t="s">
        <v>25</v>
      </c>
      <c r="K1017" s="2" t="n">
        <v>5</v>
      </c>
      <c r="L1017" s="3" t="n">
        <f aca="false">B1017-WEEKDAY(B1017,2)+1</f>
        <v>46314</v>
      </c>
      <c r="M1017" s="4" t="n">
        <f aca="false">IFERROR(INDEX(02_Parâmetros!$B$14:$B$17,MATCH(C1017,02_Parâmetros!$A$14:$A$17,0)),"")</f>
        <v>240</v>
      </c>
      <c r="N1017" s="2" t="str">
        <f aca="false">IF(OR(H1017="",M1017=""),"",IF(H1017&lt;=M1017,"Sim","Não"))</f>
        <v>Sim</v>
      </c>
    </row>
    <row r="1018" customFormat="false" ht="15" hidden="false" customHeight="false" outlineLevel="0" collapsed="false">
      <c r="A1018" s="2" t="s">
        <v>1055</v>
      </c>
      <c r="B1018" s="3" t="n">
        <v>46316</v>
      </c>
      <c r="C1018" s="2" t="s">
        <v>15</v>
      </c>
      <c r="D1018" s="2" t="s">
        <v>16</v>
      </c>
      <c r="E1018" s="2" t="s">
        <v>36</v>
      </c>
      <c r="F1018" s="2" t="s">
        <v>34</v>
      </c>
      <c r="G1018" s="2" t="s">
        <v>19</v>
      </c>
      <c r="H1018" s="2" t="n">
        <v>0.3</v>
      </c>
      <c r="I1018" s="2" t="n">
        <v>11.8</v>
      </c>
      <c r="J1018" s="2" t="s">
        <v>25</v>
      </c>
      <c r="K1018" s="2"/>
      <c r="L1018" s="3" t="n">
        <f aca="false">B1018-WEEKDAY(B1018,2)+1</f>
        <v>46314</v>
      </c>
      <c r="M1018" s="4" t="n">
        <f aca="false">IFERROR(INDEX(02_Parâmetros!$B$14:$B$17,MATCH(C1018,02_Parâmetros!$A$14:$A$17,0)),"")</f>
        <v>1</v>
      </c>
      <c r="N1018" s="2" t="str">
        <f aca="false">IF(OR(H1018="",M1018=""),"",IF(H1018&lt;=M1018,"Sim","Não"))</f>
        <v>Sim</v>
      </c>
    </row>
    <row r="1019" customFormat="false" ht="15" hidden="false" customHeight="false" outlineLevel="0" collapsed="false">
      <c r="A1019" s="2" t="s">
        <v>1056</v>
      </c>
      <c r="B1019" s="3" t="n">
        <v>46316</v>
      </c>
      <c r="C1019" s="2" t="s">
        <v>15</v>
      </c>
      <c r="D1019" s="2" t="s">
        <v>22</v>
      </c>
      <c r="E1019" s="2" t="s">
        <v>23</v>
      </c>
      <c r="F1019" s="2" t="s">
        <v>70</v>
      </c>
      <c r="G1019" s="2" t="s">
        <v>19</v>
      </c>
      <c r="H1019" s="2" t="n">
        <v>0.4</v>
      </c>
      <c r="I1019" s="2" t="n">
        <v>11.4</v>
      </c>
      <c r="J1019" s="2" t="s">
        <v>20</v>
      </c>
      <c r="K1019" s="2" t="n">
        <v>4</v>
      </c>
      <c r="L1019" s="3" t="n">
        <f aca="false">B1019-WEEKDAY(B1019,2)+1</f>
        <v>46314</v>
      </c>
      <c r="M1019" s="4" t="n">
        <f aca="false">IFERROR(INDEX(02_Parâmetros!$B$14:$B$17,MATCH(C1019,02_Parâmetros!$A$14:$A$17,0)),"")</f>
        <v>1</v>
      </c>
      <c r="N1019" s="2" t="str">
        <f aca="false">IF(OR(H1019="",M1019=""),"",IF(H1019&lt;=M1019,"Sim","Não"))</f>
        <v>Sim</v>
      </c>
    </row>
    <row r="1020" customFormat="false" ht="15" hidden="false" customHeight="false" outlineLevel="0" collapsed="false">
      <c r="A1020" s="2" t="s">
        <v>1057</v>
      </c>
      <c r="B1020" s="3" t="n">
        <v>46316</v>
      </c>
      <c r="C1020" s="2" t="s">
        <v>15</v>
      </c>
      <c r="D1020" s="2" t="s">
        <v>16</v>
      </c>
      <c r="E1020" s="2" t="s">
        <v>36</v>
      </c>
      <c r="F1020" s="2" t="s">
        <v>18</v>
      </c>
      <c r="G1020" s="2" t="s">
        <v>19</v>
      </c>
      <c r="H1020" s="2" t="n">
        <v>0.7</v>
      </c>
      <c r="I1020" s="2" t="n">
        <v>10.6</v>
      </c>
      <c r="J1020" s="2" t="s">
        <v>20</v>
      </c>
      <c r="K1020" s="2"/>
      <c r="L1020" s="3" t="n">
        <f aca="false">B1020-WEEKDAY(B1020,2)+1</f>
        <v>46314</v>
      </c>
      <c r="M1020" s="4" t="n">
        <f aca="false">IFERROR(INDEX(02_Parâmetros!$B$14:$B$17,MATCH(C1020,02_Parâmetros!$A$14:$A$17,0)),"")</f>
        <v>1</v>
      </c>
      <c r="N1020" s="2" t="str">
        <f aca="false">IF(OR(H1020="",M1020=""),"",IF(H1020&lt;=M1020,"Sim","Não"))</f>
        <v>Sim</v>
      </c>
    </row>
    <row r="1021" customFormat="false" ht="15" hidden="false" customHeight="false" outlineLevel="0" collapsed="false">
      <c r="A1021" s="2" t="s">
        <v>1058</v>
      </c>
      <c r="B1021" s="3" t="n">
        <v>46316</v>
      </c>
      <c r="C1021" s="2" t="s">
        <v>44</v>
      </c>
      <c r="D1021" s="2" t="s">
        <v>38</v>
      </c>
      <c r="E1021" s="2" t="s">
        <v>47</v>
      </c>
      <c r="F1021" s="2" t="s">
        <v>18</v>
      </c>
      <c r="G1021" s="2" t="s">
        <v>19</v>
      </c>
      <c r="H1021" s="2" t="n">
        <v>1.9</v>
      </c>
      <c r="I1021" s="2" t="n">
        <v>7.9</v>
      </c>
      <c r="J1021" s="2" t="s">
        <v>25</v>
      </c>
      <c r="K1021" s="2" t="n">
        <v>5</v>
      </c>
      <c r="L1021" s="3" t="n">
        <f aca="false">B1021-WEEKDAY(B1021,2)+1</f>
        <v>46314</v>
      </c>
      <c r="M1021" s="4" t="n">
        <f aca="false">IFERROR(INDEX(02_Parâmetros!$B$14:$B$17,MATCH(C1021,02_Parâmetros!$A$14:$A$17,0)),"")</f>
        <v>2</v>
      </c>
      <c r="N1021" s="2" t="str">
        <f aca="false">IF(OR(H1021="",M1021=""),"",IF(H1021&lt;=M1021,"Sim","Não"))</f>
        <v>Sim</v>
      </c>
    </row>
    <row r="1022" customFormat="false" ht="15" hidden="false" customHeight="false" outlineLevel="0" collapsed="false">
      <c r="A1022" s="2" t="s">
        <v>1059</v>
      </c>
      <c r="B1022" s="3" t="n">
        <v>46316</v>
      </c>
      <c r="C1022" s="2" t="s">
        <v>27</v>
      </c>
      <c r="D1022" s="2" t="s">
        <v>22</v>
      </c>
      <c r="E1022" s="2" t="s">
        <v>28</v>
      </c>
      <c r="F1022" s="2" t="s">
        <v>32</v>
      </c>
      <c r="G1022" s="2" t="s">
        <v>19</v>
      </c>
      <c r="H1022" s="2" t="n">
        <v>7</v>
      </c>
      <c r="I1022" s="2" t="n">
        <v>5.5</v>
      </c>
      <c r="J1022" s="2" t="s">
        <v>20</v>
      </c>
      <c r="K1022" s="2"/>
      <c r="L1022" s="3" t="n">
        <f aca="false">B1022-WEEKDAY(B1022,2)+1</f>
        <v>46314</v>
      </c>
      <c r="M1022" s="4" t="n">
        <f aca="false">IFERROR(INDEX(02_Parâmetros!$B$14:$B$17,MATCH(C1022,02_Parâmetros!$A$14:$A$17,0)),"")</f>
        <v>10</v>
      </c>
      <c r="N1022" s="2" t="str">
        <f aca="false">IF(OR(H1022="",M1022=""),"",IF(H1022&lt;=M1022,"Sim","Não"))</f>
        <v>Sim</v>
      </c>
    </row>
    <row r="1023" customFormat="false" ht="15" hidden="false" customHeight="false" outlineLevel="0" collapsed="false">
      <c r="A1023" s="2" t="s">
        <v>1060</v>
      </c>
      <c r="B1023" s="3" t="n">
        <v>46316</v>
      </c>
      <c r="C1023" s="2" t="s">
        <v>41</v>
      </c>
      <c r="D1023" s="2" t="s">
        <v>22</v>
      </c>
      <c r="E1023" s="2" t="s">
        <v>23</v>
      </c>
      <c r="F1023" s="2" t="s">
        <v>34</v>
      </c>
      <c r="G1023" s="2" t="s">
        <v>19</v>
      </c>
      <c r="H1023" s="2" t="n">
        <v>218.6</v>
      </c>
      <c r="I1023" s="2" t="n">
        <v>7.1</v>
      </c>
      <c r="J1023" s="2" t="s">
        <v>20</v>
      </c>
      <c r="K1023" s="2" t="n">
        <v>5</v>
      </c>
      <c r="L1023" s="3" t="n">
        <f aca="false">B1023-WEEKDAY(B1023,2)+1</f>
        <v>46314</v>
      </c>
      <c r="M1023" s="4" t="n">
        <f aca="false">IFERROR(INDEX(02_Parâmetros!$B$14:$B$17,MATCH(C1023,02_Parâmetros!$A$14:$A$17,0)),"")</f>
        <v>240</v>
      </c>
      <c r="N1023" s="2" t="str">
        <f aca="false">IF(OR(H1023="",M1023=""),"",IF(H1023&lt;=M1023,"Sim","Não"))</f>
        <v>Sim</v>
      </c>
    </row>
    <row r="1024" customFormat="false" ht="15" hidden="false" customHeight="false" outlineLevel="0" collapsed="false">
      <c r="A1024" s="2" t="s">
        <v>1061</v>
      </c>
      <c r="B1024" s="3" t="n">
        <v>46316</v>
      </c>
      <c r="C1024" s="2" t="s">
        <v>27</v>
      </c>
      <c r="D1024" s="2" t="s">
        <v>38</v>
      </c>
      <c r="E1024" s="2" t="s">
        <v>56</v>
      </c>
      <c r="F1024" s="2" t="s">
        <v>32</v>
      </c>
      <c r="G1024" s="2" t="s">
        <v>19</v>
      </c>
      <c r="H1024" s="2" t="n">
        <v>3.8</v>
      </c>
      <c r="I1024" s="2" t="n">
        <v>7.1</v>
      </c>
      <c r="J1024" s="2" t="s">
        <v>20</v>
      </c>
      <c r="K1024" s="2"/>
      <c r="L1024" s="3" t="n">
        <f aca="false">B1024-WEEKDAY(B1024,2)+1</f>
        <v>46314</v>
      </c>
      <c r="M1024" s="4" t="n">
        <f aca="false">IFERROR(INDEX(02_Parâmetros!$B$14:$B$17,MATCH(C1024,02_Parâmetros!$A$14:$A$17,0)),"")</f>
        <v>10</v>
      </c>
      <c r="N1024" s="2" t="str">
        <f aca="false">IF(OR(H1024="",M1024=""),"",IF(H1024&lt;=M1024,"Sim","Não"))</f>
        <v>Sim</v>
      </c>
    </row>
    <row r="1025" customFormat="false" ht="15" hidden="false" customHeight="false" outlineLevel="0" collapsed="false">
      <c r="A1025" s="2" t="s">
        <v>1062</v>
      </c>
      <c r="B1025" s="3" t="n">
        <v>46316</v>
      </c>
      <c r="C1025" s="2" t="s">
        <v>44</v>
      </c>
      <c r="D1025" s="2" t="s">
        <v>16</v>
      </c>
      <c r="E1025" s="2" t="s">
        <v>17</v>
      </c>
      <c r="F1025" s="2" t="s">
        <v>32</v>
      </c>
      <c r="G1025" s="2" t="s">
        <v>19</v>
      </c>
      <c r="H1025" s="2" t="n">
        <v>1.4</v>
      </c>
      <c r="I1025" s="2" t="n">
        <v>5.6</v>
      </c>
      <c r="J1025" s="2" t="s">
        <v>20</v>
      </c>
      <c r="K1025" s="2"/>
      <c r="L1025" s="3" t="n">
        <f aca="false">B1025-WEEKDAY(B1025,2)+1</f>
        <v>46314</v>
      </c>
      <c r="M1025" s="4" t="n">
        <f aca="false">IFERROR(INDEX(02_Parâmetros!$B$14:$B$17,MATCH(C1025,02_Parâmetros!$A$14:$A$17,0)),"")</f>
        <v>2</v>
      </c>
      <c r="N1025" s="2" t="str">
        <f aca="false">IF(OR(H1025="",M1025=""),"",IF(H1025&lt;=M1025,"Sim","Não"))</f>
        <v>Sim</v>
      </c>
    </row>
    <row r="1026" customFormat="false" ht="15" hidden="false" customHeight="false" outlineLevel="0" collapsed="false">
      <c r="A1026" s="2" t="s">
        <v>1063</v>
      </c>
      <c r="B1026" s="3" t="n">
        <v>46316</v>
      </c>
      <c r="C1026" s="2" t="s">
        <v>15</v>
      </c>
      <c r="D1026" s="2" t="s">
        <v>16</v>
      </c>
      <c r="E1026" s="2" t="s">
        <v>36</v>
      </c>
      <c r="F1026" s="2" t="s">
        <v>18</v>
      </c>
      <c r="G1026" s="2" t="s">
        <v>19</v>
      </c>
      <c r="H1026" s="2" t="n">
        <v>0.7</v>
      </c>
      <c r="I1026" s="2" t="n">
        <v>13.8</v>
      </c>
      <c r="J1026" s="2" t="s">
        <v>20</v>
      </c>
      <c r="K1026" s="2" t="n">
        <v>1</v>
      </c>
      <c r="L1026" s="3" t="n">
        <f aca="false">B1026-WEEKDAY(B1026,2)+1</f>
        <v>46314</v>
      </c>
      <c r="M1026" s="4" t="n">
        <f aca="false">IFERROR(INDEX(02_Parâmetros!$B$14:$B$17,MATCH(C1026,02_Parâmetros!$A$14:$A$17,0)),"")</f>
        <v>1</v>
      </c>
      <c r="N1026" s="2" t="str">
        <f aca="false">IF(OR(H1026="",M1026=""),"",IF(H1026&lt;=M1026,"Sim","Não"))</f>
        <v>Sim</v>
      </c>
    </row>
    <row r="1027" customFormat="false" ht="15" hidden="false" customHeight="false" outlineLevel="0" collapsed="false">
      <c r="A1027" s="2" t="s">
        <v>1064</v>
      </c>
      <c r="B1027" s="3" t="n">
        <v>46316</v>
      </c>
      <c r="C1027" s="2" t="s">
        <v>44</v>
      </c>
      <c r="D1027" s="2" t="s">
        <v>16</v>
      </c>
      <c r="E1027" s="2" t="s">
        <v>31</v>
      </c>
      <c r="F1027" s="2" t="s">
        <v>42</v>
      </c>
      <c r="G1027" s="2" t="s">
        <v>19</v>
      </c>
      <c r="H1027" s="2" t="n">
        <v>0.7</v>
      </c>
      <c r="I1027" s="2" t="n">
        <v>8.3</v>
      </c>
      <c r="J1027" s="2" t="s">
        <v>20</v>
      </c>
      <c r="K1027" s="2" t="n">
        <v>5</v>
      </c>
      <c r="L1027" s="3" t="n">
        <f aca="false">B1027-WEEKDAY(B1027,2)+1</f>
        <v>46314</v>
      </c>
      <c r="M1027" s="4" t="n">
        <f aca="false">IFERROR(INDEX(02_Parâmetros!$B$14:$B$17,MATCH(C1027,02_Parâmetros!$A$14:$A$17,0)),"")</f>
        <v>2</v>
      </c>
      <c r="N1027" s="2" t="str">
        <f aca="false">IF(OR(H1027="",M1027=""),"",IF(H1027&lt;=M1027,"Sim","Não"))</f>
        <v>Sim</v>
      </c>
    </row>
    <row r="1028" customFormat="false" ht="15" hidden="false" customHeight="false" outlineLevel="0" collapsed="false">
      <c r="A1028" s="2" t="s">
        <v>1065</v>
      </c>
      <c r="B1028" s="3" t="n">
        <v>46316</v>
      </c>
      <c r="C1028" s="2" t="s">
        <v>27</v>
      </c>
      <c r="D1028" s="2" t="s">
        <v>22</v>
      </c>
      <c r="E1028" s="2" t="s">
        <v>23</v>
      </c>
      <c r="F1028" s="2" t="s">
        <v>18</v>
      </c>
      <c r="G1028" s="2" t="s">
        <v>19</v>
      </c>
      <c r="H1028" s="2" t="n">
        <v>3.4</v>
      </c>
      <c r="I1028" s="2" t="n">
        <v>9</v>
      </c>
      <c r="J1028" s="2" t="s">
        <v>20</v>
      </c>
      <c r="K1028" s="2"/>
      <c r="L1028" s="3" t="n">
        <f aca="false">B1028-WEEKDAY(B1028,2)+1</f>
        <v>46314</v>
      </c>
      <c r="M1028" s="4" t="n">
        <f aca="false">IFERROR(INDEX(02_Parâmetros!$B$14:$B$17,MATCH(C1028,02_Parâmetros!$A$14:$A$17,0)),"")</f>
        <v>10</v>
      </c>
      <c r="N1028" s="2" t="str">
        <f aca="false">IF(OR(H1028="",M1028=""),"",IF(H1028&lt;=M1028,"Sim","Não"))</f>
        <v>Sim</v>
      </c>
    </row>
    <row r="1029" customFormat="false" ht="15" hidden="false" customHeight="false" outlineLevel="0" collapsed="false">
      <c r="A1029" s="2" t="s">
        <v>1066</v>
      </c>
      <c r="B1029" s="3" t="n">
        <v>46316</v>
      </c>
      <c r="C1029" s="2" t="s">
        <v>27</v>
      </c>
      <c r="D1029" s="2" t="s">
        <v>16</v>
      </c>
      <c r="E1029" s="2" t="s">
        <v>17</v>
      </c>
      <c r="F1029" s="2" t="s">
        <v>42</v>
      </c>
      <c r="G1029" s="2" t="s">
        <v>19</v>
      </c>
      <c r="H1029" s="2" t="n">
        <v>24.9</v>
      </c>
      <c r="I1029" s="2" t="n">
        <v>5.9</v>
      </c>
      <c r="J1029" s="2" t="s">
        <v>20</v>
      </c>
      <c r="K1029" s="2"/>
      <c r="L1029" s="3" t="n">
        <f aca="false">B1029-WEEKDAY(B1029,2)+1</f>
        <v>46314</v>
      </c>
      <c r="M1029" s="4" t="n">
        <f aca="false">IFERROR(INDEX(02_Parâmetros!$B$14:$B$17,MATCH(C1029,02_Parâmetros!$A$14:$A$17,0)),"")</f>
        <v>10</v>
      </c>
      <c r="N1029" s="2" t="str">
        <f aca="false">IF(OR(H1029="",M1029=""),"",IF(H1029&lt;=M1029,"Sim","Não"))</f>
        <v>Não</v>
      </c>
    </row>
    <row r="1030" customFormat="false" ht="15" hidden="false" customHeight="false" outlineLevel="0" collapsed="false">
      <c r="A1030" s="2" t="s">
        <v>1067</v>
      </c>
      <c r="B1030" s="3" t="n">
        <v>46316</v>
      </c>
      <c r="C1030" s="2" t="s">
        <v>27</v>
      </c>
      <c r="D1030" s="2" t="s">
        <v>38</v>
      </c>
      <c r="E1030" s="2" t="s">
        <v>56</v>
      </c>
      <c r="F1030" s="2" t="s">
        <v>18</v>
      </c>
      <c r="G1030" s="2" t="s">
        <v>19</v>
      </c>
      <c r="H1030" s="2" t="n">
        <v>6.7</v>
      </c>
      <c r="I1030" s="2" t="n">
        <v>7.3</v>
      </c>
      <c r="J1030" s="2" t="s">
        <v>20</v>
      </c>
      <c r="K1030" s="2"/>
      <c r="L1030" s="3" t="n">
        <f aca="false">B1030-WEEKDAY(B1030,2)+1</f>
        <v>46314</v>
      </c>
      <c r="M1030" s="4" t="n">
        <f aca="false">IFERROR(INDEX(02_Parâmetros!$B$14:$B$17,MATCH(C1030,02_Parâmetros!$A$14:$A$17,0)),"")</f>
        <v>10</v>
      </c>
      <c r="N1030" s="2" t="str">
        <f aca="false">IF(OR(H1030="",M1030=""),"",IF(H1030&lt;=M1030,"Sim","Não"))</f>
        <v>Sim</v>
      </c>
    </row>
    <row r="1031" customFormat="false" ht="15" hidden="false" customHeight="false" outlineLevel="0" collapsed="false">
      <c r="A1031" s="2" t="s">
        <v>1068</v>
      </c>
      <c r="B1031" s="3" t="n">
        <v>46316</v>
      </c>
      <c r="C1031" s="2" t="s">
        <v>41</v>
      </c>
      <c r="D1031" s="2" t="s">
        <v>22</v>
      </c>
      <c r="E1031" s="2" t="s">
        <v>28</v>
      </c>
      <c r="F1031" s="2" t="s">
        <v>42</v>
      </c>
      <c r="G1031" s="2" t="s">
        <v>19</v>
      </c>
      <c r="H1031" s="2" t="n">
        <v>172.4</v>
      </c>
      <c r="I1031" s="2" t="n">
        <v>8.2</v>
      </c>
      <c r="J1031" s="2" t="s">
        <v>25</v>
      </c>
      <c r="K1031" s="2" t="n">
        <v>5</v>
      </c>
      <c r="L1031" s="3" t="n">
        <f aca="false">B1031-WEEKDAY(B1031,2)+1</f>
        <v>46314</v>
      </c>
      <c r="M1031" s="4" t="n">
        <f aca="false">IFERROR(INDEX(02_Parâmetros!$B$14:$B$17,MATCH(C1031,02_Parâmetros!$A$14:$A$17,0)),"")</f>
        <v>240</v>
      </c>
      <c r="N1031" s="2" t="str">
        <f aca="false">IF(OR(H1031="",M1031=""),"",IF(H1031&lt;=M1031,"Sim","Não"))</f>
        <v>Sim</v>
      </c>
    </row>
    <row r="1032" customFormat="false" ht="15" hidden="false" customHeight="false" outlineLevel="0" collapsed="false">
      <c r="A1032" s="2" t="s">
        <v>1069</v>
      </c>
      <c r="B1032" s="3" t="n">
        <v>46317</v>
      </c>
      <c r="C1032" s="2" t="s">
        <v>41</v>
      </c>
      <c r="D1032" s="2" t="s">
        <v>38</v>
      </c>
      <c r="E1032" s="2" t="s">
        <v>39</v>
      </c>
      <c r="F1032" s="2" t="s">
        <v>24</v>
      </c>
      <c r="G1032" s="2" t="s">
        <v>19</v>
      </c>
      <c r="H1032" s="2" t="n">
        <v>65.2</v>
      </c>
      <c r="I1032" s="2" t="n">
        <v>8.7</v>
      </c>
      <c r="J1032" s="2" t="s">
        <v>20</v>
      </c>
      <c r="K1032" s="2"/>
      <c r="L1032" s="3" t="n">
        <f aca="false">B1032-WEEKDAY(B1032,2)+1</f>
        <v>46314</v>
      </c>
      <c r="M1032" s="4" t="n">
        <f aca="false">IFERROR(INDEX(02_Parâmetros!$B$14:$B$17,MATCH(C1032,02_Parâmetros!$A$14:$A$17,0)),"")</f>
        <v>240</v>
      </c>
      <c r="N1032" s="2" t="str">
        <f aca="false">IF(OR(H1032="",M1032=""),"",IF(H1032&lt;=M1032,"Sim","Não"))</f>
        <v>Sim</v>
      </c>
    </row>
    <row r="1033" customFormat="false" ht="15" hidden="false" customHeight="false" outlineLevel="0" collapsed="false">
      <c r="A1033" s="2" t="s">
        <v>1070</v>
      </c>
      <c r="B1033" s="3" t="n">
        <v>46317</v>
      </c>
      <c r="C1033" s="2" t="s">
        <v>27</v>
      </c>
      <c r="D1033" s="2" t="s">
        <v>22</v>
      </c>
      <c r="E1033" s="2" t="s">
        <v>23</v>
      </c>
      <c r="F1033" s="2" t="s">
        <v>18</v>
      </c>
      <c r="G1033" s="2" t="s">
        <v>19</v>
      </c>
      <c r="H1033" s="2" t="n">
        <v>7.8</v>
      </c>
      <c r="I1033" s="2" t="n">
        <v>8</v>
      </c>
      <c r="J1033" s="2" t="s">
        <v>25</v>
      </c>
      <c r="K1033" s="2" t="n">
        <v>5</v>
      </c>
      <c r="L1033" s="3" t="n">
        <f aca="false">B1033-WEEKDAY(B1033,2)+1</f>
        <v>46314</v>
      </c>
      <c r="M1033" s="4" t="n">
        <f aca="false">IFERROR(INDEX(02_Parâmetros!$B$14:$B$17,MATCH(C1033,02_Parâmetros!$A$14:$A$17,0)),"")</f>
        <v>10</v>
      </c>
      <c r="N1033" s="2" t="str">
        <f aca="false">IF(OR(H1033="",M1033=""),"",IF(H1033&lt;=M1033,"Sim","Não"))</f>
        <v>Sim</v>
      </c>
    </row>
    <row r="1034" customFormat="false" ht="15" hidden="false" customHeight="false" outlineLevel="0" collapsed="false">
      <c r="A1034" s="2" t="s">
        <v>1071</v>
      </c>
      <c r="B1034" s="3" t="n">
        <v>46317</v>
      </c>
      <c r="C1034" s="2" t="s">
        <v>27</v>
      </c>
      <c r="D1034" s="2" t="s">
        <v>16</v>
      </c>
      <c r="E1034" s="2" t="s">
        <v>36</v>
      </c>
      <c r="F1034" s="2" t="s">
        <v>18</v>
      </c>
      <c r="G1034" s="2" t="s">
        <v>19</v>
      </c>
      <c r="H1034" s="2" t="n">
        <v>7.2</v>
      </c>
      <c r="I1034" s="2" t="n">
        <v>10.3</v>
      </c>
      <c r="J1034" s="2" t="s">
        <v>20</v>
      </c>
      <c r="K1034" s="2" t="n">
        <v>4</v>
      </c>
      <c r="L1034" s="3" t="n">
        <f aca="false">B1034-WEEKDAY(B1034,2)+1</f>
        <v>46314</v>
      </c>
      <c r="M1034" s="4" t="n">
        <f aca="false">IFERROR(INDEX(02_Parâmetros!$B$14:$B$17,MATCH(C1034,02_Parâmetros!$A$14:$A$17,0)),"")</f>
        <v>10</v>
      </c>
      <c r="N1034" s="2" t="str">
        <f aca="false">IF(OR(H1034="",M1034=""),"",IF(H1034&lt;=M1034,"Sim","Não"))</f>
        <v>Sim</v>
      </c>
    </row>
    <row r="1035" customFormat="false" ht="15" hidden="false" customHeight="false" outlineLevel="0" collapsed="false">
      <c r="A1035" s="2" t="s">
        <v>1072</v>
      </c>
      <c r="B1035" s="3" t="n">
        <v>46317</v>
      </c>
      <c r="C1035" s="2" t="s">
        <v>44</v>
      </c>
      <c r="D1035" s="2" t="s">
        <v>16</v>
      </c>
      <c r="E1035" s="2" t="s">
        <v>17</v>
      </c>
      <c r="F1035" s="2" t="s">
        <v>18</v>
      </c>
      <c r="G1035" s="2" t="s">
        <v>19</v>
      </c>
      <c r="H1035" s="2" t="n">
        <v>1.1</v>
      </c>
      <c r="I1035" s="2" t="n">
        <v>10.1</v>
      </c>
      <c r="J1035" s="2" t="s">
        <v>20</v>
      </c>
      <c r="K1035" s="2"/>
      <c r="L1035" s="3" t="n">
        <f aca="false">B1035-WEEKDAY(B1035,2)+1</f>
        <v>46314</v>
      </c>
      <c r="M1035" s="4" t="n">
        <f aca="false">IFERROR(INDEX(02_Parâmetros!$B$14:$B$17,MATCH(C1035,02_Parâmetros!$A$14:$A$17,0)),"")</f>
        <v>2</v>
      </c>
      <c r="N1035" s="2" t="str">
        <f aca="false">IF(OR(H1035="",M1035=""),"",IF(H1035&lt;=M1035,"Sim","Não"))</f>
        <v>Sim</v>
      </c>
    </row>
    <row r="1036" customFormat="false" ht="15" hidden="false" customHeight="false" outlineLevel="0" collapsed="false">
      <c r="A1036" s="2" t="s">
        <v>1073</v>
      </c>
      <c r="B1036" s="3" t="n">
        <v>46317</v>
      </c>
      <c r="C1036" s="2" t="s">
        <v>41</v>
      </c>
      <c r="D1036" s="2" t="s">
        <v>22</v>
      </c>
      <c r="E1036" s="2" t="s">
        <v>28</v>
      </c>
      <c r="F1036" s="2" t="s">
        <v>18</v>
      </c>
      <c r="G1036" s="2" t="s">
        <v>19</v>
      </c>
      <c r="H1036" s="2" t="n">
        <v>93.5</v>
      </c>
      <c r="I1036" s="2" t="n">
        <v>9.6</v>
      </c>
      <c r="J1036" s="2" t="s">
        <v>20</v>
      </c>
      <c r="K1036" s="2"/>
      <c r="L1036" s="3" t="n">
        <f aca="false">B1036-WEEKDAY(B1036,2)+1</f>
        <v>46314</v>
      </c>
      <c r="M1036" s="4" t="n">
        <f aca="false">IFERROR(INDEX(02_Parâmetros!$B$14:$B$17,MATCH(C1036,02_Parâmetros!$A$14:$A$17,0)),"")</f>
        <v>240</v>
      </c>
      <c r="N1036" s="2" t="str">
        <f aca="false">IF(OR(H1036="",M1036=""),"",IF(H1036&lt;=M1036,"Sim","Não"))</f>
        <v>Sim</v>
      </c>
    </row>
    <row r="1037" customFormat="false" ht="15" hidden="false" customHeight="false" outlineLevel="0" collapsed="false">
      <c r="A1037" s="2" t="s">
        <v>1074</v>
      </c>
      <c r="B1037" s="3" t="n">
        <v>46317</v>
      </c>
      <c r="C1037" s="2" t="s">
        <v>27</v>
      </c>
      <c r="D1037" s="2" t="s">
        <v>38</v>
      </c>
      <c r="E1037" s="2" t="s">
        <v>47</v>
      </c>
      <c r="F1037" s="2" t="s">
        <v>34</v>
      </c>
      <c r="G1037" s="2" t="s">
        <v>19</v>
      </c>
      <c r="H1037" s="2" t="n">
        <v>9.8</v>
      </c>
      <c r="I1037" s="2" t="n">
        <v>8.6</v>
      </c>
      <c r="J1037" s="2" t="s">
        <v>20</v>
      </c>
      <c r="K1037" s="2" t="n">
        <v>5</v>
      </c>
      <c r="L1037" s="3" t="n">
        <f aca="false">B1037-WEEKDAY(B1037,2)+1</f>
        <v>46314</v>
      </c>
      <c r="M1037" s="4" t="n">
        <f aca="false">IFERROR(INDEX(02_Parâmetros!$B$14:$B$17,MATCH(C1037,02_Parâmetros!$A$14:$A$17,0)),"")</f>
        <v>10</v>
      </c>
      <c r="N1037" s="2" t="str">
        <f aca="false">IF(OR(H1037="",M1037=""),"",IF(H1037&lt;=M1037,"Sim","Não"))</f>
        <v>Sim</v>
      </c>
    </row>
    <row r="1038" customFormat="false" ht="15" hidden="false" customHeight="false" outlineLevel="0" collapsed="false">
      <c r="A1038" s="2" t="s">
        <v>1075</v>
      </c>
      <c r="B1038" s="3" t="n">
        <v>46317</v>
      </c>
      <c r="C1038" s="2" t="s">
        <v>44</v>
      </c>
      <c r="D1038" s="2" t="s">
        <v>22</v>
      </c>
      <c r="E1038" s="2" t="s">
        <v>23</v>
      </c>
      <c r="F1038" s="2" t="s">
        <v>32</v>
      </c>
      <c r="G1038" s="2" t="s">
        <v>19</v>
      </c>
      <c r="H1038" s="2" t="n">
        <v>0.7</v>
      </c>
      <c r="I1038" s="2" t="n">
        <v>8.3</v>
      </c>
      <c r="J1038" s="2" t="s">
        <v>20</v>
      </c>
      <c r="K1038" s="2" t="n">
        <v>4</v>
      </c>
      <c r="L1038" s="3" t="n">
        <f aca="false">B1038-WEEKDAY(B1038,2)+1</f>
        <v>46314</v>
      </c>
      <c r="M1038" s="4" t="n">
        <f aca="false">IFERROR(INDEX(02_Parâmetros!$B$14:$B$17,MATCH(C1038,02_Parâmetros!$A$14:$A$17,0)),"")</f>
        <v>2</v>
      </c>
      <c r="N1038" s="2" t="str">
        <f aca="false">IF(OR(H1038="",M1038=""),"",IF(H1038&lt;=M1038,"Sim","Não"))</f>
        <v>Sim</v>
      </c>
    </row>
    <row r="1039" customFormat="false" ht="15" hidden="false" customHeight="false" outlineLevel="0" collapsed="false">
      <c r="A1039" s="2" t="s">
        <v>1076</v>
      </c>
      <c r="B1039" s="3" t="n">
        <v>46317</v>
      </c>
      <c r="C1039" s="2" t="s">
        <v>41</v>
      </c>
      <c r="D1039" s="2" t="s">
        <v>16</v>
      </c>
      <c r="E1039" s="2" t="s">
        <v>17</v>
      </c>
      <c r="F1039" s="2" t="s">
        <v>32</v>
      </c>
      <c r="G1039" s="2" t="s">
        <v>19</v>
      </c>
      <c r="H1039" s="2" t="n">
        <v>142.6</v>
      </c>
      <c r="I1039" s="2" t="n">
        <v>5.9</v>
      </c>
      <c r="J1039" s="2" t="s">
        <v>20</v>
      </c>
      <c r="K1039" s="2" t="n">
        <v>5</v>
      </c>
      <c r="L1039" s="3" t="n">
        <f aca="false">B1039-WEEKDAY(B1039,2)+1</f>
        <v>46314</v>
      </c>
      <c r="M1039" s="4" t="n">
        <f aca="false">IFERROR(INDEX(02_Parâmetros!$B$14:$B$17,MATCH(C1039,02_Parâmetros!$A$14:$A$17,0)),"")</f>
        <v>240</v>
      </c>
      <c r="N1039" s="2" t="str">
        <f aca="false">IF(OR(H1039="",M1039=""),"",IF(H1039&lt;=M1039,"Sim","Não"))</f>
        <v>Sim</v>
      </c>
    </row>
    <row r="1040" customFormat="false" ht="15" hidden="false" customHeight="false" outlineLevel="0" collapsed="false">
      <c r="A1040" s="2" t="s">
        <v>1077</v>
      </c>
      <c r="B1040" s="3" t="n">
        <v>46317</v>
      </c>
      <c r="C1040" s="2" t="s">
        <v>15</v>
      </c>
      <c r="D1040" s="2" t="s">
        <v>16</v>
      </c>
      <c r="E1040" s="2" t="s">
        <v>31</v>
      </c>
      <c r="F1040" s="2" t="s">
        <v>42</v>
      </c>
      <c r="G1040" s="2" t="s">
        <v>19</v>
      </c>
      <c r="H1040" s="2" t="n">
        <v>0.9</v>
      </c>
      <c r="I1040" s="2" t="n">
        <v>11</v>
      </c>
      <c r="J1040" s="2" t="s">
        <v>20</v>
      </c>
      <c r="K1040" s="2"/>
      <c r="L1040" s="3" t="n">
        <f aca="false">B1040-WEEKDAY(B1040,2)+1</f>
        <v>46314</v>
      </c>
      <c r="M1040" s="4" t="n">
        <f aca="false">IFERROR(INDEX(02_Parâmetros!$B$14:$B$17,MATCH(C1040,02_Parâmetros!$A$14:$A$17,0)),"")</f>
        <v>1</v>
      </c>
      <c r="N1040" s="2" t="str">
        <f aca="false">IF(OR(H1040="",M1040=""),"",IF(H1040&lt;=M1040,"Sim","Não"))</f>
        <v>Sim</v>
      </c>
    </row>
    <row r="1041" customFormat="false" ht="15" hidden="false" customHeight="false" outlineLevel="0" collapsed="false">
      <c r="A1041" s="2" t="s">
        <v>1078</v>
      </c>
      <c r="B1041" s="3" t="n">
        <v>46317</v>
      </c>
      <c r="C1041" s="2" t="s">
        <v>15</v>
      </c>
      <c r="D1041" s="2" t="s">
        <v>38</v>
      </c>
      <c r="E1041" s="2" t="s">
        <v>47</v>
      </c>
      <c r="F1041" s="2" t="s">
        <v>32</v>
      </c>
      <c r="G1041" s="2" t="s">
        <v>19</v>
      </c>
      <c r="H1041" s="2" t="n">
        <v>1</v>
      </c>
      <c r="I1041" s="2" t="n">
        <v>7.5</v>
      </c>
      <c r="J1041" s="2" t="s">
        <v>20</v>
      </c>
      <c r="K1041" s="2" t="n">
        <v>5</v>
      </c>
      <c r="L1041" s="3" t="n">
        <f aca="false">B1041-WEEKDAY(B1041,2)+1</f>
        <v>46314</v>
      </c>
      <c r="M1041" s="4" t="n">
        <f aca="false">IFERROR(INDEX(02_Parâmetros!$B$14:$B$17,MATCH(C1041,02_Parâmetros!$A$14:$A$17,0)),"")</f>
        <v>1</v>
      </c>
      <c r="N1041" s="2" t="str">
        <f aca="false">IF(OR(H1041="",M1041=""),"",IF(H1041&lt;=M1041,"Sim","Não"))</f>
        <v>Sim</v>
      </c>
    </row>
    <row r="1042" customFormat="false" ht="15" hidden="false" customHeight="false" outlineLevel="0" collapsed="false">
      <c r="A1042" s="2" t="s">
        <v>1079</v>
      </c>
      <c r="B1042" s="3" t="n">
        <v>46317</v>
      </c>
      <c r="C1042" s="2" t="s">
        <v>41</v>
      </c>
      <c r="D1042" s="2" t="s">
        <v>22</v>
      </c>
      <c r="E1042" s="2" t="s">
        <v>23</v>
      </c>
      <c r="F1042" s="2" t="s">
        <v>32</v>
      </c>
      <c r="G1042" s="2" t="s">
        <v>19</v>
      </c>
      <c r="H1042" s="2"/>
      <c r="I1042" s="2" t="n">
        <v>6.6</v>
      </c>
      <c r="J1042" s="2" t="s">
        <v>20</v>
      </c>
      <c r="K1042" s="2"/>
      <c r="L1042" s="3" t="n">
        <f aca="false">B1042-WEEKDAY(B1042,2)+1</f>
        <v>46314</v>
      </c>
      <c r="M1042" s="4" t="n">
        <f aca="false">IFERROR(INDEX(02_Parâmetros!$B$14:$B$17,MATCH(C1042,02_Parâmetros!$A$14:$A$17,0)),"")</f>
        <v>240</v>
      </c>
      <c r="N1042" s="2" t="str">
        <f aca="false">IF(OR(H1042="",M1042=""),"",IF(H1042&lt;=M1042,"Sim","Não"))</f>
        <v/>
      </c>
    </row>
    <row r="1043" customFormat="false" ht="15" hidden="false" customHeight="false" outlineLevel="0" collapsed="false">
      <c r="A1043" s="2" t="s">
        <v>1080</v>
      </c>
      <c r="B1043" s="3" t="n">
        <v>46317</v>
      </c>
      <c r="C1043" s="2" t="s">
        <v>44</v>
      </c>
      <c r="D1043" s="2" t="s">
        <v>38</v>
      </c>
      <c r="E1043" s="2" t="s">
        <v>47</v>
      </c>
      <c r="F1043" s="2" t="s">
        <v>18</v>
      </c>
      <c r="G1043" s="2" t="s">
        <v>19</v>
      </c>
      <c r="H1043" s="2" t="n">
        <v>4.3</v>
      </c>
      <c r="I1043" s="2" t="n">
        <v>7.8</v>
      </c>
      <c r="J1043" s="2" t="s">
        <v>20</v>
      </c>
      <c r="K1043" s="2" t="n">
        <v>3</v>
      </c>
      <c r="L1043" s="3" t="n">
        <f aca="false">B1043-WEEKDAY(B1043,2)+1</f>
        <v>46314</v>
      </c>
      <c r="M1043" s="4" t="n">
        <f aca="false">IFERROR(INDEX(02_Parâmetros!$B$14:$B$17,MATCH(C1043,02_Parâmetros!$A$14:$A$17,0)),"")</f>
        <v>2</v>
      </c>
      <c r="N1043" s="2" t="str">
        <f aca="false">IF(OR(H1043="",M1043=""),"",IF(H1043&lt;=M1043,"Sim","Não"))</f>
        <v>Não</v>
      </c>
    </row>
    <row r="1044" customFormat="false" ht="15" hidden="false" customHeight="false" outlineLevel="0" collapsed="false">
      <c r="A1044" s="2" t="s">
        <v>1081</v>
      </c>
      <c r="B1044" s="3" t="n">
        <v>46317</v>
      </c>
      <c r="C1044" s="2" t="s">
        <v>15</v>
      </c>
      <c r="D1044" s="2" t="s">
        <v>38</v>
      </c>
      <c r="E1044" s="2" t="s">
        <v>47</v>
      </c>
      <c r="F1044" s="2" t="s">
        <v>24</v>
      </c>
      <c r="G1044" s="2" t="s">
        <v>19</v>
      </c>
      <c r="H1044" s="2" t="n">
        <v>0.7</v>
      </c>
      <c r="I1044" s="2" t="n">
        <v>19.9</v>
      </c>
      <c r="J1044" s="2" t="s">
        <v>25</v>
      </c>
      <c r="K1044" s="2" t="n">
        <v>3</v>
      </c>
      <c r="L1044" s="3" t="n">
        <f aca="false">B1044-WEEKDAY(B1044,2)+1</f>
        <v>46314</v>
      </c>
      <c r="M1044" s="4" t="n">
        <f aca="false">IFERROR(INDEX(02_Parâmetros!$B$14:$B$17,MATCH(C1044,02_Parâmetros!$A$14:$A$17,0)),"")</f>
        <v>1</v>
      </c>
      <c r="N1044" s="2" t="str">
        <f aca="false">IF(OR(H1044="",M1044=""),"",IF(H1044&lt;=M1044,"Sim","Não"))</f>
        <v>Sim</v>
      </c>
    </row>
    <row r="1045" customFormat="false" ht="15" hidden="false" customHeight="false" outlineLevel="0" collapsed="false">
      <c r="A1045" s="2" t="s">
        <v>1082</v>
      </c>
      <c r="B1045" s="3" t="n">
        <v>46317</v>
      </c>
      <c r="C1045" s="2" t="s">
        <v>41</v>
      </c>
      <c r="D1045" s="2" t="s">
        <v>16</v>
      </c>
      <c r="E1045" s="2" t="s">
        <v>31</v>
      </c>
      <c r="F1045" s="2" t="s">
        <v>32</v>
      </c>
      <c r="G1045" s="2" t="s">
        <v>19</v>
      </c>
      <c r="H1045" s="2" t="n">
        <v>156.7</v>
      </c>
      <c r="I1045" s="2" t="n">
        <v>9.7</v>
      </c>
      <c r="J1045" s="2" t="s">
        <v>20</v>
      </c>
      <c r="K1045" s="2"/>
      <c r="L1045" s="3" t="n">
        <f aca="false">B1045-WEEKDAY(B1045,2)+1</f>
        <v>46314</v>
      </c>
      <c r="M1045" s="4" t="n">
        <f aca="false">IFERROR(INDEX(02_Parâmetros!$B$14:$B$17,MATCH(C1045,02_Parâmetros!$A$14:$A$17,0)),"")</f>
        <v>240</v>
      </c>
      <c r="N1045" s="2" t="str">
        <f aca="false">IF(OR(H1045="",M1045=""),"",IF(H1045&lt;=M1045,"Sim","Não"))</f>
        <v>Sim</v>
      </c>
    </row>
    <row r="1046" customFormat="false" ht="15" hidden="false" customHeight="false" outlineLevel="0" collapsed="false">
      <c r="A1046" s="2" t="s">
        <v>1083</v>
      </c>
      <c r="B1046" s="3" t="n">
        <v>46317</v>
      </c>
      <c r="C1046" s="2" t="s">
        <v>27</v>
      </c>
      <c r="D1046" s="2" t="s">
        <v>16</v>
      </c>
      <c r="E1046" s="2" t="s">
        <v>17</v>
      </c>
      <c r="F1046" s="2" t="s">
        <v>70</v>
      </c>
      <c r="G1046" s="2" t="s">
        <v>19</v>
      </c>
      <c r="H1046" s="2" t="n">
        <v>28.2</v>
      </c>
      <c r="I1046" s="2" t="n">
        <v>5.4</v>
      </c>
      <c r="J1046" s="2" t="s">
        <v>20</v>
      </c>
      <c r="K1046" s="2"/>
      <c r="L1046" s="3" t="n">
        <f aca="false">B1046-WEEKDAY(B1046,2)+1</f>
        <v>46314</v>
      </c>
      <c r="M1046" s="4" t="n">
        <f aca="false">IFERROR(INDEX(02_Parâmetros!$B$14:$B$17,MATCH(C1046,02_Parâmetros!$A$14:$A$17,0)),"")</f>
        <v>10</v>
      </c>
      <c r="N1046" s="2" t="str">
        <f aca="false">IF(OR(H1046="",M1046=""),"",IF(H1046&lt;=M1046,"Sim","Não"))</f>
        <v>Não</v>
      </c>
    </row>
    <row r="1047" customFormat="false" ht="15" hidden="false" customHeight="false" outlineLevel="0" collapsed="false">
      <c r="A1047" s="2" t="s">
        <v>1084</v>
      </c>
      <c r="B1047" s="3" t="n">
        <v>46317</v>
      </c>
      <c r="C1047" s="2" t="s">
        <v>27</v>
      </c>
      <c r="D1047" s="2" t="s">
        <v>38</v>
      </c>
      <c r="E1047" s="2" t="s">
        <v>39</v>
      </c>
      <c r="F1047" s="2" t="s">
        <v>42</v>
      </c>
      <c r="G1047" s="2" t="s">
        <v>19</v>
      </c>
      <c r="H1047" s="2" t="n">
        <v>9.7</v>
      </c>
      <c r="I1047" s="2" t="n">
        <v>6.1</v>
      </c>
      <c r="J1047" s="2" t="s">
        <v>20</v>
      </c>
      <c r="K1047" s="2"/>
      <c r="L1047" s="3" t="n">
        <f aca="false">B1047-WEEKDAY(B1047,2)+1</f>
        <v>46314</v>
      </c>
      <c r="M1047" s="4" t="n">
        <f aca="false">IFERROR(INDEX(02_Parâmetros!$B$14:$B$17,MATCH(C1047,02_Parâmetros!$A$14:$A$17,0)),"")</f>
        <v>10</v>
      </c>
      <c r="N1047" s="2" t="str">
        <f aca="false">IF(OR(H1047="",M1047=""),"",IF(H1047&lt;=M1047,"Sim","Não"))</f>
        <v>Sim</v>
      </c>
    </row>
    <row r="1048" customFormat="false" ht="15" hidden="false" customHeight="false" outlineLevel="0" collapsed="false">
      <c r="A1048" s="2" t="s">
        <v>1085</v>
      </c>
      <c r="B1048" s="3" t="n">
        <v>46317</v>
      </c>
      <c r="C1048" s="2" t="s">
        <v>27</v>
      </c>
      <c r="D1048" s="2" t="s">
        <v>16</v>
      </c>
      <c r="E1048" s="2" t="s">
        <v>17</v>
      </c>
      <c r="F1048" s="2" t="s">
        <v>34</v>
      </c>
      <c r="G1048" s="2" t="s">
        <v>19</v>
      </c>
      <c r="H1048" s="2" t="n">
        <v>6.7</v>
      </c>
      <c r="I1048" s="2" t="n">
        <v>7.7</v>
      </c>
      <c r="J1048" s="2" t="s">
        <v>20</v>
      </c>
      <c r="K1048" s="2"/>
      <c r="L1048" s="3" t="n">
        <f aca="false">B1048-WEEKDAY(B1048,2)+1</f>
        <v>46314</v>
      </c>
      <c r="M1048" s="4" t="n">
        <f aca="false">IFERROR(INDEX(02_Parâmetros!$B$14:$B$17,MATCH(C1048,02_Parâmetros!$A$14:$A$17,0)),"")</f>
        <v>10</v>
      </c>
      <c r="N1048" s="2" t="str">
        <f aca="false">IF(OR(H1048="",M1048=""),"",IF(H1048&lt;=M1048,"Sim","Não"))</f>
        <v>Sim</v>
      </c>
    </row>
    <row r="1049" customFormat="false" ht="15" hidden="false" customHeight="false" outlineLevel="0" collapsed="false">
      <c r="A1049" s="2" t="s">
        <v>1086</v>
      </c>
      <c r="B1049" s="3" t="n">
        <v>46317</v>
      </c>
      <c r="C1049" s="2" t="s">
        <v>15</v>
      </c>
      <c r="D1049" s="2" t="s">
        <v>16</v>
      </c>
      <c r="E1049" s="2" t="s">
        <v>17</v>
      </c>
      <c r="F1049" s="2" t="s">
        <v>34</v>
      </c>
      <c r="G1049" s="2" t="s">
        <v>19</v>
      </c>
      <c r="H1049" s="2" t="n">
        <v>0.9</v>
      </c>
      <c r="I1049" s="2" t="n">
        <v>12.1</v>
      </c>
      <c r="J1049" s="2" t="s">
        <v>25</v>
      </c>
      <c r="K1049" s="2"/>
      <c r="L1049" s="3" t="n">
        <f aca="false">B1049-WEEKDAY(B1049,2)+1</f>
        <v>46314</v>
      </c>
      <c r="M1049" s="4" t="n">
        <f aca="false">IFERROR(INDEX(02_Parâmetros!$B$14:$B$17,MATCH(C1049,02_Parâmetros!$A$14:$A$17,0)),"")</f>
        <v>1</v>
      </c>
      <c r="N1049" s="2" t="str">
        <f aca="false">IF(OR(H1049="",M1049=""),"",IF(H1049&lt;=M1049,"Sim","Não"))</f>
        <v>Sim</v>
      </c>
    </row>
    <row r="1050" customFormat="false" ht="15" hidden="false" customHeight="false" outlineLevel="0" collapsed="false">
      <c r="A1050" s="2" t="s">
        <v>1087</v>
      </c>
      <c r="B1050" s="3" t="n">
        <v>46317</v>
      </c>
      <c r="C1050" s="2" t="s">
        <v>44</v>
      </c>
      <c r="D1050" s="2" t="s">
        <v>22</v>
      </c>
      <c r="E1050" s="2" t="s">
        <v>28</v>
      </c>
      <c r="F1050" s="2" t="s">
        <v>42</v>
      </c>
      <c r="G1050" s="2" t="s">
        <v>19</v>
      </c>
      <c r="H1050" s="2" t="n">
        <v>1.4</v>
      </c>
      <c r="I1050" s="2" t="n">
        <v>9.2</v>
      </c>
      <c r="J1050" s="2" t="s">
        <v>20</v>
      </c>
      <c r="K1050" s="2"/>
      <c r="L1050" s="3" t="n">
        <f aca="false">B1050-WEEKDAY(B1050,2)+1</f>
        <v>46314</v>
      </c>
      <c r="M1050" s="4" t="n">
        <f aca="false">IFERROR(INDEX(02_Parâmetros!$B$14:$B$17,MATCH(C1050,02_Parâmetros!$A$14:$A$17,0)),"")</f>
        <v>2</v>
      </c>
      <c r="N1050" s="2" t="str">
        <f aca="false">IF(OR(H1050="",M1050=""),"",IF(H1050&lt;=M1050,"Sim","Não"))</f>
        <v>Sim</v>
      </c>
    </row>
    <row r="1051" customFormat="false" ht="15" hidden="false" customHeight="false" outlineLevel="0" collapsed="false">
      <c r="A1051" s="2" t="s">
        <v>1088</v>
      </c>
      <c r="B1051" s="3" t="n">
        <v>46317</v>
      </c>
      <c r="C1051" s="2" t="s">
        <v>44</v>
      </c>
      <c r="D1051" s="2" t="s">
        <v>16</v>
      </c>
      <c r="E1051" s="2" t="s">
        <v>36</v>
      </c>
      <c r="F1051" s="2" t="s">
        <v>32</v>
      </c>
      <c r="G1051" s="2" t="s">
        <v>19</v>
      </c>
      <c r="H1051" s="2" t="n">
        <v>1.2</v>
      </c>
      <c r="I1051" s="2" t="n">
        <v>8</v>
      </c>
      <c r="J1051" s="2" t="s">
        <v>20</v>
      </c>
      <c r="K1051" s="2" t="n">
        <v>5</v>
      </c>
      <c r="L1051" s="3" t="n">
        <f aca="false">B1051-WEEKDAY(B1051,2)+1</f>
        <v>46314</v>
      </c>
      <c r="M1051" s="4" t="n">
        <f aca="false">IFERROR(INDEX(02_Parâmetros!$B$14:$B$17,MATCH(C1051,02_Parâmetros!$A$14:$A$17,0)),"")</f>
        <v>2</v>
      </c>
      <c r="N1051" s="2" t="str">
        <f aca="false">IF(OR(H1051="",M1051=""),"",IF(H1051&lt;=M1051,"Sim","Não"))</f>
        <v>Sim</v>
      </c>
    </row>
    <row r="1052" customFormat="false" ht="15" hidden="false" customHeight="false" outlineLevel="0" collapsed="false">
      <c r="A1052" s="2" t="s">
        <v>1089</v>
      </c>
      <c r="B1052" s="3" t="n">
        <v>46317</v>
      </c>
      <c r="C1052" s="2" t="s">
        <v>27</v>
      </c>
      <c r="D1052" s="2" t="s">
        <v>38</v>
      </c>
      <c r="E1052" s="2" t="s">
        <v>47</v>
      </c>
      <c r="F1052" s="2" t="s">
        <v>24</v>
      </c>
      <c r="G1052" s="2" t="s">
        <v>19</v>
      </c>
      <c r="H1052" s="2" t="n">
        <v>6.8</v>
      </c>
      <c r="I1052" s="2" t="n">
        <v>10.7</v>
      </c>
      <c r="J1052" s="2" t="s">
        <v>25</v>
      </c>
      <c r="K1052" s="2" t="n">
        <v>3</v>
      </c>
      <c r="L1052" s="3" t="n">
        <f aca="false">B1052-WEEKDAY(B1052,2)+1</f>
        <v>46314</v>
      </c>
      <c r="M1052" s="4" t="n">
        <f aca="false">IFERROR(INDEX(02_Parâmetros!$B$14:$B$17,MATCH(C1052,02_Parâmetros!$A$14:$A$17,0)),"")</f>
        <v>10</v>
      </c>
      <c r="N1052" s="2" t="str">
        <f aca="false">IF(OR(H1052="",M1052=""),"",IF(H1052&lt;=M1052,"Sim","Não"))</f>
        <v>Sim</v>
      </c>
    </row>
    <row r="1053" customFormat="false" ht="15" hidden="false" customHeight="false" outlineLevel="0" collapsed="false">
      <c r="A1053" s="2" t="s">
        <v>1090</v>
      </c>
      <c r="B1053" s="3" t="n">
        <v>46317</v>
      </c>
      <c r="C1053" s="2" t="s">
        <v>27</v>
      </c>
      <c r="D1053" s="2" t="s">
        <v>22</v>
      </c>
      <c r="E1053" s="2" t="s">
        <v>23</v>
      </c>
      <c r="F1053" s="2" t="s">
        <v>32</v>
      </c>
      <c r="G1053" s="2" t="s">
        <v>78</v>
      </c>
      <c r="H1053" s="2" t="n">
        <v>5.9</v>
      </c>
      <c r="I1053" s="2" t="n">
        <v>8.2</v>
      </c>
      <c r="J1053" s="2"/>
      <c r="K1053" s="2"/>
      <c r="L1053" s="3" t="n">
        <f aca="false">B1053-WEEKDAY(B1053,2)+1</f>
        <v>46314</v>
      </c>
      <c r="M1053" s="4" t="n">
        <f aca="false">IFERROR(INDEX(02_Parâmetros!$B$14:$B$17,MATCH(C1053,02_Parâmetros!$A$14:$A$17,0)),"")</f>
        <v>10</v>
      </c>
      <c r="N1053" s="2" t="str">
        <f aca="false">IF(OR(H1053="",M1053=""),"",IF(H1053&lt;=M1053,"Sim","Não"))</f>
        <v>Sim</v>
      </c>
    </row>
    <row r="1054" customFormat="false" ht="15" hidden="false" customHeight="false" outlineLevel="0" collapsed="false">
      <c r="A1054" s="2" t="s">
        <v>1091</v>
      </c>
      <c r="B1054" s="3" t="n">
        <v>46318</v>
      </c>
      <c r="C1054" s="2" t="s">
        <v>44</v>
      </c>
      <c r="D1054" s="2" t="s">
        <v>38</v>
      </c>
      <c r="E1054" s="2" t="s">
        <v>56</v>
      </c>
      <c r="F1054" s="2" t="s">
        <v>70</v>
      </c>
      <c r="G1054" s="2" t="s">
        <v>19</v>
      </c>
      <c r="H1054" s="2" t="n">
        <v>1.3</v>
      </c>
      <c r="I1054" s="2" t="n">
        <v>5.6</v>
      </c>
      <c r="J1054" s="2" t="s">
        <v>20</v>
      </c>
      <c r="K1054" s="2" t="n">
        <v>5</v>
      </c>
      <c r="L1054" s="3" t="n">
        <f aca="false">B1054-WEEKDAY(B1054,2)+1</f>
        <v>46314</v>
      </c>
      <c r="M1054" s="4" t="n">
        <f aca="false">IFERROR(INDEX(02_Parâmetros!$B$14:$B$17,MATCH(C1054,02_Parâmetros!$A$14:$A$17,0)),"")</f>
        <v>2</v>
      </c>
      <c r="N1054" s="2" t="str">
        <f aca="false">IF(OR(H1054="",M1054=""),"",IF(H1054&lt;=M1054,"Sim","Não"))</f>
        <v>Sim</v>
      </c>
    </row>
    <row r="1055" customFormat="false" ht="15" hidden="false" customHeight="false" outlineLevel="0" collapsed="false">
      <c r="A1055" s="2" t="s">
        <v>1092</v>
      </c>
      <c r="B1055" s="3" t="n">
        <v>46318</v>
      </c>
      <c r="C1055" s="2" t="s">
        <v>41</v>
      </c>
      <c r="D1055" s="2" t="s">
        <v>38</v>
      </c>
      <c r="E1055" s="2" t="s">
        <v>39</v>
      </c>
      <c r="F1055" s="2" t="s">
        <v>18</v>
      </c>
      <c r="G1055" s="2" t="s">
        <v>19</v>
      </c>
      <c r="H1055" s="2" t="n">
        <v>87.8</v>
      </c>
      <c r="I1055" s="2" t="n">
        <v>10.9</v>
      </c>
      <c r="J1055" s="2" t="s">
        <v>25</v>
      </c>
      <c r="K1055" s="2"/>
      <c r="L1055" s="3" t="n">
        <f aca="false">B1055-WEEKDAY(B1055,2)+1</f>
        <v>46314</v>
      </c>
      <c r="M1055" s="4" t="n">
        <f aca="false">IFERROR(INDEX(02_Parâmetros!$B$14:$B$17,MATCH(C1055,02_Parâmetros!$A$14:$A$17,0)),"")</f>
        <v>240</v>
      </c>
      <c r="N1055" s="2" t="str">
        <f aca="false">IF(OR(H1055="",M1055=""),"",IF(H1055&lt;=M1055,"Sim","Não"))</f>
        <v>Sim</v>
      </c>
    </row>
    <row r="1056" customFormat="false" ht="15" hidden="false" customHeight="false" outlineLevel="0" collapsed="false">
      <c r="A1056" s="2" t="s">
        <v>1093</v>
      </c>
      <c r="B1056" s="3" t="n">
        <v>46318</v>
      </c>
      <c r="C1056" s="2" t="s">
        <v>27</v>
      </c>
      <c r="D1056" s="2" t="s">
        <v>22</v>
      </c>
      <c r="E1056" s="2" t="s">
        <v>28</v>
      </c>
      <c r="F1056" s="2" t="s">
        <v>32</v>
      </c>
      <c r="G1056" s="2" t="s">
        <v>19</v>
      </c>
      <c r="H1056" s="2" t="n">
        <v>10</v>
      </c>
      <c r="I1056" s="2" t="n">
        <v>5.2</v>
      </c>
      <c r="J1056" s="2" t="s">
        <v>25</v>
      </c>
      <c r="K1056" s="2" t="n">
        <v>4</v>
      </c>
      <c r="L1056" s="3" t="n">
        <f aca="false">B1056-WEEKDAY(B1056,2)+1</f>
        <v>46314</v>
      </c>
      <c r="M1056" s="4" t="n">
        <f aca="false">IFERROR(INDEX(02_Parâmetros!$B$14:$B$17,MATCH(C1056,02_Parâmetros!$A$14:$A$17,0)),"")</f>
        <v>10</v>
      </c>
      <c r="N1056" s="2" t="str">
        <f aca="false">IF(OR(H1056="",M1056=""),"",IF(H1056&lt;=M1056,"Sim","Não"))</f>
        <v>Sim</v>
      </c>
    </row>
    <row r="1057" customFormat="false" ht="15" hidden="false" customHeight="false" outlineLevel="0" collapsed="false">
      <c r="A1057" s="2" t="s">
        <v>1094</v>
      </c>
      <c r="B1057" s="3" t="n">
        <v>46318</v>
      </c>
      <c r="C1057" s="2" t="s">
        <v>44</v>
      </c>
      <c r="D1057" s="2" t="s">
        <v>16</v>
      </c>
      <c r="E1057" s="2" t="s">
        <v>31</v>
      </c>
      <c r="F1057" s="2" t="s">
        <v>32</v>
      </c>
      <c r="G1057" s="2" t="s">
        <v>19</v>
      </c>
      <c r="H1057" s="2" t="n">
        <v>1.2</v>
      </c>
      <c r="I1057" s="2" t="n">
        <v>4.5</v>
      </c>
      <c r="J1057" s="2" t="s">
        <v>20</v>
      </c>
      <c r="K1057" s="2" t="n">
        <v>5</v>
      </c>
      <c r="L1057" s="3" t="n">
        <f aca="false">B1057-WEEKDAY(B1057,2)+1</f>
        <v>46314</v>
      </c>
      <c r="M1057" s="4" t="n">
        <f aca="false">IFERROR(INDEX(02_Parâmetros!$B$14:$B$17,MATCH(C1057,02_Parâmetros!$A$14:$A$17,0)),"")</f>
        <v>2</v>
      </c>
      <c r="N1057" s="2" t="str">
        <f aca="false">IF(OR(H1057="",M1057=""),"",IF(H1057&lt;=M1057,"Sim","Não"))</f>
        <v>Sim</v>
      </c>
    </row>
    <row r="1058" customFormat="false" ht="15" hidden="false" customHeight="false" outlineLevel="0" collapsed="false">
      <c r="A1058" s="2" t="s">
        <v>1095</v>
      </c>
      <c r="B1058" s="3" t="n">
        <v>46318</v>
      </c>
      <c r="C1058" s="2" t="s">
        <v>44</v>
      </c>
      <c r="D1058" s="2" t="s">
        <v>38</v>
      </c>
      <c r="E1058" s="2" t="s">
        <v>56</v>
      </c>
      <c r="F1058" s="2" t="s">
        <v>32</v>
      </c>
      <c r="G1058" s="2" t="s">
        <v>19</v>
      </c>
      <c r="H1058" s="2" t="n">
        <v>1.3</v>
      </c>
      <c r="I1058" s="2" t="n">
        <v>7.5</v>
      </c>
      <c r="J1058" s="2" t="s">
        <v>20</v>
      </c>
      <c r="K1058" s="2" t="n">
        <v>4</v>
      </c>
      <c r="L1058" s="3" t="n">
        <f aca="false">B1058-WEEKDAY(B1058,2)+1</f>
        <v>46314</v>
      </c>
      <c r="M1058" s="4" t="n">
        <f aca="false">IFERROR(INDEX(02_Parâmetros!$B$14:$B$17,MATCH(C1058,02_Parâmetros!$A$14:$A$17,0)),"")</f>
        <v>2</v>
      </c>
      <c r="N1058" s="2" t="str">
        <f aca="false">IF(OR(H1058="",M1058=""),"",IF(H1058&lt;=M1058,"Sim","Não"))</f>
        <v>Sim</v>
      </c>
    </row>
    <row r="1059" customFormat="false" ht="15" hidden="false" customHeight="false" outlineLevel="0" collapsed="false">
      <c r="A1059" s="2" t="s">
        <v>1096</v>
      </c>
      <c r="B1059" s="3" t="n">
        <v>46318</v>
      </c>
      <c r="C1059" s="2" t="s">
        <v>44</v>
      </c>
      <c r="D1059" s="2" t="s">
        <v>16</v>
      </c>
      <c r="E1059" s="2" t="s">
        <v>36</v>
      </c>
      <c r="F1059" s="2" t="s">
        <v>42</v>
      </c>
      <c r="G1059" s="2" t="s">
        <v>19</v>
      </c>
      <c r="H1059" s="2" t="n">
        <v>1.9</v>
      </c>
      <c r="I1059" s="2" t="n">
        <v>7.6</v>
      </c>
      <c r="J1059" s="2" t="s">
        <v>20</v>
      </c>
      <c r="K1059" s="2" t="n">
        <v>5</v>
      </c>
      <c r="L1059" s="3" t="n">
        <f aca="false">B1059-WEEKDAY(B1059,2)+1</f>
        <v>46314</v>
      </c>
      <c r="M1059" s="4" t="n">
        <f aca="false">IFERROR(INDEX(02_Parâmetros!$B$14:$B$17,MATCH(C1059,02_Parâmetros!$A$14:$A$17,0)),"")</f>
        <v>2</v>
      </c>
      <c r="N1059" s="2" t="str">
        <f aca="false">IF(OR(H1059="",M1059=""),"",IF(H1059&lt;=M1059,"Sim","Não"))</f>
        <v>Sim</v>
      </c>
    </row>
    <row r="1060" customFormat="false" ht="15" hidden="false" customHeight="false" outlineLevel="0" collapsed="false">
      <c r="A1060" s="2" t="s">
        <v>1097</v>
      </c>
      <c r="B1060" s="3" t="n">
        <v>46318</v>
      </c>
      <c r="C1060" s="2" t="s">
        <v>15</v>
      </c>
      <c r="D1060" s="2" t="s">
        <v>16</v>
      </c>
      <c r="E1060" s="2" t="s">
        <v>31</v>
      </c>
      <c r="F1060" s="2" t="s">
        <v>42</v>
      </c>
      <c r="G1060" s="2" t="s">
        <v>19</v>
      </c>
      <c r="H1060" s="2" t="n">
        <v>0.6</v>
      </c>
      <c r="I1060" s="2" t="n">
        <v>11.6</v>
      </c>
      <c r="J1060" s="2" t="s">
        <v>25</v>
      </c>
      <c r="K1060" s="2"/>
      <c r="L1060" s="3" t="n">
        <f aca="false">B1060-WEEKDAY(B1060,2)+1</f>
        <v>46314</v>
      </c>
      <c r="M1060" s="4" t="n">
        <f aca="false">IFERROR(INDEX(02_Parâmetros!$B$14:$B$17,MATCH(C1060,02_Parâmetros!$A$14:$A$17,0)),"")</f>
        <v>1</v>
      </c>
      <c r="N1060" s="2" t="str">
        <f aca="false">IF(OR(H1060="",M1060=""),"",IF(H1060&lt;=M1060,"Sim","Não"))</f>
        <v>Sim</v>
      </c>
    </row>
    <row r="1061" customFormat="false" ht="15" hidden="false" customHeight="false" outlineLevel="0" collapsed="false">
      <c r="A1061" s="2" t="s">
        <v>1098</v>
      </c>
      <c r="B1061" s="3" t="n">
        <v>46318</v>
      </c>
      <c r="C1061" s="2" t="s">
        <v>41</v>
      </c>
      <c r="D1061" s="2" t="s">
        <v>22</v>
      </c>
      <c r="E1061" s="2" t="s">
        <v>23</v>
      </c>
      <c r="F1061" s="2" t="s">
        <v>70</v>
      </c>
      <c r="G1061" s="2" t="s">
        <v>19</v>
      </c>
      <c r="H1061" s="2" t="n">
        <v>195.9</v>
      </c>
      <c r="I1061" s="2" t="n">
        <v>10.7</v>
      </c>
      <c r="J1061" s="2" t="s">
        <v>20</v>
      </c>
      <c r="K1061" s="2" t="n">
        <v>5</v>
      </c>
      <c r="L1061" s="3" t="n">
        <f aca="false">B1061-WEEKDAY(B1061,2)+1</f>
        <v>46314</v>
      </c>
      <c r="M1061" s="4" t="n">
        <f aca="false">IFERROR(INDEX(02_Parâmetros!$B$14:$B$17,MATCH(C1061,02_Parâmetros!$A$14:$A$17,0)),"")</f>
        <v>240</v>
      </c>
      <c r="N1061" s="2" t="str">
        <f aca="false">IF(OR(H1061="",M1061=""),"",IF(H1061&lt;=M1061,"Sim","Não"))</f>
        <v>Sim</v>
      </c>
    </row>
    <row r="1062" customFormat="false" ht="15" hidden="false" customHeight="false" outlineLevel="0" collapsed="false">
      <c r="A1062" s="2" t="s">
        <v>1099</v>
      </c>
      <c r="B1062" s="3" t="n">
        <v>46318</v>
      </c>
      <c r="C1062" s="2" t="s">
        <v>41</v>
      </c>
      <c r="D1062" s="2" t="s">
        <v>16</v>
      </c>
      <c r="E1062" s="2" t="s">
        <v>36</v>
      </c>
      <c r="F1062" s="2" t="s">
        <v>24</v>
      </c>
      <c r="G1062" s="2" t="s">
        <v>19</v>
      </c>
      <c r="H1062" s="2" t="n">
        <v>169.7</v>
      </c>
      <c r="I1062" s="2" t="n">
        <v>11.5</v>
      </c>
      <c r="J1062" s="2" t="s">
        <v>20</v>
      </c>
      <c r="K1062" s="2" t="n">
        <v>4</v>
      </c>
      <c r="L1062" s="3" t="n">
        <f aca="false">B1062-WEEKDAY(B1062,2)+1</f>
        <v>46314</v>
      </c>
      <c r="M1062" s="4" t="n">
        <f aca="false">IFERROR(INDEX(02_Parâmetros!$B$14:$B$17,MATCH(C1062,02_Parâmetros!$A$14:$A$17,0)),"")</f>
        <v>240</v>
      </c>
      <c r="N1062" s="2" t="str">
        <f aca="false">IF(OR(H1062="",M1062=""),"",IF(H1062&lt;=M1062,"Sim","Não"))</f>
        <v>Sim</v>
      </c>
    </row>
    <row r="1063" customFormat="false" ht="15" hidden="false" customHeight="false" outlineLevel="0" collapsed="false">
      <c r="A1063" s="2" t="s">
        <v>1100</v>
      </c>
      <c r="B1063" s="3" t="n">
        <v>46318</v>
      </c>
      <c r="C1063" s="2" t="s">
        <v>44</v>
      </c>
      <c r="D1063" s="2" t="s">
        <v>38</v>
      </c>
      <c r="E1063" s="2" t="s">
        <v>56</v>
      </c>
      <c r="F1063" s="2" t="s">
        <v>24</v>
      </c>
      <c r="G1063" s="2" t="s">
        <v>19</v>
      </c>
      <c r="H1063" s="2" t="n">
        <v>1.7</v>
      </c>
      <c r="I1063" s="2" t="n">
        <v>10.7</v>
      </c>
      <c r="J1063" s="2" t="s">
        <v>25</v>
      </c>
      <c r="K1063" s="2" t="n">
        <v>5</v>
      </c>
      <c r="L1063" s="3" t="n">
        <f aca="false">B1063-WEEKDAY(B1063,2)+1</f>
        <v>46314</v>
      </c>
      <c r="M1063" s="4" t="n">
        <f aca="false">IFERROR(INDEX(02_Parâmetros!$B$14:$B$17,MATCH(C1063,02_Parâmetros!$A$14:$A$17,0)),"")</f>
        <v>2</v>
      </c>
      <c r="N1063" s="2" t="str">
        <f aca="false">IF(OR(H1063="",M1063=""),"",IF(H1063&lt;=M1063,"Sim","Não"))</f>
        <v>Sim</v>
      </c>
    </row>
    <row r="1064" customFormat="false" ht="15" hidden="false" customHeight="false" outlineLevel="0" collapsed="false">
      <c r="A1064" s="2" t="s">
        <v>1101</v>
      </c>
      <c r="B1064" s="3" t="n">
        <v>46318</v>
      </c>
      <c r="C1064" s="2" t="s">
        <v>44</v>
      </c>
      <c r="D1064" s="2" t="s">
        <v>22</v>
      </c>
      <c r="E1064" s="2" t="s">
        <v>23</v>
      </c>
      <c r="F1064" s="2" t="s">
        <v>24</v>
      </c>
      <c r="G1064" s="2" t="s">
        <v>78</v>
      </c>
      <c r="H1064" s="2" t="n">
        <v>1.2</v>
      </c>
      <c r="I1064" s="2" t="n">
        <v>13.6</v>
      </c>
      <c r="J1064" s="2"/>
      <c r="K1064" s="2"/>
      <c r="L1064" s="3" t="n">
        <f aca="false">B1064-WEEKDAY(B1064,2)+1</f>
        <v>46314</v>
      </c>
      <c r="M1064" s="4" t="n">
        <f aca="false">IFERROR(INDEX(02_Parâmetros!$B$14:$B$17,MATCH(C1064,02_Parâmetros!$A$14:$A$17,0)),"")</f>
        <v>2</v>
      </c>
      <c r="N1064" s="2" t="str">
        <f aca="false">IF(OR(H1064="",M1064=""),"",IF(H1064&lt;=M1064,"Sim","Não"))</f>
        <v>Sim</v>
      </c>
    </row>
    <row r="1065" customFormat="false" ht="15" hidden="false" customHeight="false" outlineLevel="0" collapsed="false">
      <c r="A1065" s="2" t="s">
        <v>1102</v>
      </c>
      <c r="B1065" s="3" t="n">
        <v>46318</v>
      </c>
      <c r="C1065" s="2" t="s">
        <v>41</v>
      </c>
      <c r="D1065" s="2" t="s">
        <v>16</v>
      </c>
      <c r="E1065" s="2" t="s">
        <v>36</v>
      </c>
      <c r="F1065" s="2" t="s">
        <v>70</v>
      </c>
      <c r="G1065" s="2" t="s">
        <v>19</v>
      </c>
      <c r="H1065" s="2" t="n">
        <v>86.9</v>
      </c>
      <c r="I1065" s="2" t="n">
        <v>11.1</v>
      </c>
      <c r="J1065" s="2" t="s">
        <v>20</v>
      </c>
      <c r="K1065" s="2"/>
      <c r="L1065" s="3" t="n">
        <f aca="false">B1065-WEEKDAY(B1065,2)+1</f>
        <v>46314</v>
      </c>
      <c r="M1065" s="4" t="n">
        <f aca="false">IFERROR(INDEX(02_Parâmetros!$B$14:$B$17,MATCH(C1065,02_Parâmetros!$A$14:$A$17,0)),"")</f>
        <v>240</v>
      </c>
      <c r="N1065" s="2" t="str">
        <f aca="false">IF(OR(H1065="",M1065=""),"",IF(H1065&lt;=M1065,"Sim","Não"))</f>
        <v>Sim</v>
      </c>
    </row>
    <row r="1066" customFormat="false" ht="15" hidden="false" customHeight="false" outlineLevel="0" collapsed="false">
      <c r="A1066" s="2" t="s">
        <v>1103</v>
      </c>
      <c r="B1066" s="3" t="n">
        <v>46318</v>
      </c>
      <c r="C1066" s="2" t="s">
        <v>44</v>
      </c>
      <c r="D1066" s="2" t="s">
        <v>38</v>
      </c>
      <c r="E1066" s="2" t="s">
        <v>47</v>
      </c>
      <c r="F1066" s="2" t="s">
        <v>18</v>
      </c>
      <c r="G1066" s="2" t="s">
        <v>19</v>
      </c>
      <c r="H1066" s="2" t="n">
        <v>0.5</v>
      </c>
      <c r="I1066" s="2" t="n">
        <v>10.8</v>
      </c>
      <c r="J1066" s="2" t="s">
        <v>20</v>
      </c>
      <c r="K1066" s="2" t="n">
        <v>5</v>
      </c>
      <c r="L1066" s="3" t="n">
        <f aca="false">B1066-WEEKDAY(B1066,2)+1</f>
        <v>46314</v>
      </c>
      <c r="M1066" s="4" t="n">
        <f aca="false">IFERROR(INDEX(02_Parâmetros!$B$14:$B$17,MATCH(C1066,02_Parâmetros!$A$14:$A$17,0)),"")</f>
        <v>2</v>
      </c>
      <c r="N1066" s="2" t="str">
        <f aca="false">IF(OR(H1066="",M1066=""),"",IF(H1066&lt;=M1066,"Sim","Não"))</f>
        <v>Sim</v>
      </c>
    </row>
    <row r="1067" customFormat="false" ht="15" hidden="false" customHeight="false" outlineLevel="0" collapsed="false">
      <c r="A1067" s="2" t="s">
        <v>1104</v>
      </c>
      <c r="B1067" s="3" t="n">
        <v>46318</v>
      </c>
      <c r="C1067" s="2" t="s">
        <v>15</v>
      </c>
      <c r="D1067" s="2" t="s">
        <v>16</v>
      </c>
      <c r="E1067" s="2" t="s">
        <v>36</v>
      </c>
      <c r="F1067" s="2" t="s">
        <v>70</v>
      </c>
      <c r="G1067" s="2" t="s">
        <v>19</v>
      </c>
      <c r="H1067" s="2" t="n">
        <v>0.3</v>
      </c>
      <c r="I1067" s="2" t="n">
        <v>9.4</v>
      </c>
      <c r="J1067" s="2" t="s">
        <v>20</v>
      </c>
      <c r="K1067" s="2" t="n">
        <v>5</v>
      </c>
      <c r="L1067" s="3" t="n">
        <f aca="false">B1067-WEEKDAY(B1067,2)+1</f>
        <v>46314</v>
      </c>
      <c r="M1067" s="4" t="n">
        <f aca="false">IFERROR(INDEX(02_Parâmetros!$B$14:$B$17,MATCH(C1067,02_Parâmetros!$A$14:$A$17,0)),"")</f>
        <v>1</v>
      </c>
      <c r="N1067" s="2" t="str">
        <f aca="false">IF(OR(H1067="",M1067=""),"",IF(H1067&lt;=M1067,"Sim","Não"))</f>
        <v>Sim</v>
      </c>
    </row>
    <row r="1068" customFormat="false" ht="15" hidden="false" customHeight="false" outlineLevel="0" collapsed="false">
      <c r="A1068" s="2" t="s">
        <v>1105</v>
      </c>
      <c r="B1068" s="3" t="n">
        <v>46318</v>
      </c>
      <c r="C1068" s="2" t="s">
        <v>41</v>
      </c>
      <c r="D1068" s="2" t="s">
        <v>16</v>
      </c>
      <c r="E1068" s="2" t="s">
        <v>36</v>
      </c>
      <c r="F1068" s="2" t="s">
        <v>18</v>
      </c>
      <c r="G1068" s="2" t="s">
        <v>19</v>
      </c>
      <c r="H1068" s="2" t="n">
        <v>423</v>
      </c>
      <c r="I1068" s="2" t="n">
        <v>12.2</v>
      </c>
      <c r="J1068" s="2" t="s">
        <v>20</v>
      </c>
      <c r="K1068" s="2"/>
      <c r="L1068" s="3" t="n">
        <f aca="false">B1068-WEEKDAY(B1068,2)+1</f>
        <v>46314</v>
      </c>
      <c r="M1068" s="4" t="n">
        <f aca="false">IFERROR(INDEX(02_Parâmetros!$B$14:$B$17,MATCH(C1068,02_Parâmetros!$A$14:$A$17,0)),"")</f>
        <v>240</v>
      </c>
      <c r="N1068" s="2" t="str">
        <f aca="false">IF(OR(H1068="",M1068=""),"",IF(H1068&lt;=M1068,"Sim","Não"))</f>
        <v>Não</v>
      </c>
    </row>
    <row r="1069" customFormat="false" ht="15" hidden="false" customHeight="false" outlineLevel="0" collapsed="false">
      <c r="A1069" s="2" t="s">
        <v>1106</v>
      </c>
      <c r="B1069" s="3" t="n">
        <v>46318</v>
      </c>
      <c r="C1069" s="2" t="s">
        <v>41</v>
      </c>
      <c r="D1069" s="2" t="s">
        <v>16</v>
      </c>
      <c r="E1069" s="2" t="s">
        <v>31</v>
      </c>
      <c r="F1069" s="2" t="s">
        <v>32</v>
      </c>
      <c r="G1069" s="2" t="s">
        <v>19</v>
      </c>
      <c r="H1069" s="2" t="n">
        <v>111.6</v>
      </c>
      <c r="I1069" s="2" t="n">
        <v>9.8</v>
      </c>
      <c r="J1069" s="2" t="s">
        <v>20</v>
      </c>
      <c r="K1069" s="2"/>
      <c r="L1069" s="3" t="n">
        <f aca="false">B1069-WEEKDAY(B1069,2)+1</f>
        <v>46314</v>
      </c>
      <c r="M1069" s="4" t="n">
        <f aca="false">IFERROR(INDEX(02_Parâmetros!$B$14:$B$17,MATCH(C1069,02_Parâmetros!$A$14:$A$17,0)),"")</f>
        <v>240</v>
      </c>
      <c r="N1069" s="2" t="str">
        <f aca="false">IF(OR(H1069="",M1069=""),"",IF(H1069&lt;=M1069,"Sim","Não"))</f>
        <v>Sim</v>
      </c>
    </row>
    <row r="1070" customFormat="false" ht="15" hidden="false" customHeight="false" outlineLevel="0" collapsed="false">
      <c r="A1070" s="2" t="s">
        <v>1107</v>
      </c>
      <c r="B1070" s="3" t="n">
        <v>46318</v>
      </c>
      <c r="C1070" s="2" t="s">
        <v>44</v>
      </c>
      <c r="D1070" s="2" t="s">
        <v>16</v>
      </c>
      <c r="E1070" s="2" t="s">
        <v>17</v>
      </c>
      <c r="F1070" s="2" t="s">
        <v>70</v>
      </c>
      <c r="G1070" s="2" t="s">
        <v>19</v>
      </c>
      <c r="H1070" s="2" t="n">
        <v>1.4</v>
      </c>
      <c r="I1070" s="2" t="n">
        <v>5.9</v>
      </c>
      <c r="J1070" s="2" t="s">
        <v>20</v>
      </c>
      <c r="K1070" s="2" t="n">
        <v>4</v>
      </c>
      <c r="L1070" s="3" t="n">
        <f aca="false">B1070-WEEKDAY(B1070,2)+1</f>
        <v>46314</v>
      </c>
      <c r="M1070" s="4" t="n">
        <f aca="false">IFERROR(INDEX(02_Parâmetros!$B$14:$B$17,MATCH(C1070,02_Parâmetros!$A$14:$A$17,0)),"")</f>
        <v>2</v>
      </c>
      <c r="N1070" s="2" t="str">
        <f aca="false">IF(OR(H1070="",M1070=""),"",IF(H1070&lt;=M1070,"Sim","Não"))</f>
        <v>Sim</v>
      </c>
    </row>
    <row r="1071" customFormat="false" ht="15" hidden="false" customHeight="false" outlineLevel="0" collapsed="false">
      <c r="A1071" s="2" t="s">
        <v>1108</v>
      </c>
      <c r="B1071" s="3" t="n">
        <v>46318</v>
      </c>
      <c r="C1071" s="2" t="s">
        <v>41</v>
      </c>
      <c r="D1071" s="2" t="s">
        <v>16</v>
      </c>
      <c r="E1071" s="2" t="s">
        <v>17</v>
      </c>
      <c r="F1071" s="2" t="s">
        <v>70</v>
      </c>
      <c r="G1071" s="2" t="s">
        <v>19</v>
      </c>
      <c r="H1071" s="2" t="n">
        <v>82.1</v>
      </c>
      <c r="I1071" s="2" t="n">
        <v>10.3</v>
      </c>
      <c r="J1071" s="2" t="s">
        <v>20</v>
      </c>
      <c r="K1071" s="2"/>
      <c r="L1071" s="3" t="n">
        <f aca="false">B1071-WEEKDAY(B1071,2)+1</f>
        <v>46314</v>
      </c>
      <c r="M1071" s="4" t="n">
        <f aca="false">IFERROR(INDEX(02_Parâmetros!$B$14:$B$17,MATCH(C1071,02_Parâmetros!$A$14:$A$17,0)),"")</f>
        <v>240</v>
      </c>
      <c r="N1071" s="2" t="str">
        <f aca="false">IF(OR(H1071="",M1071=""),"",IF(H1071&lt;=M1071,"Sim","Não"))</f>
        <v>Sim</v>
      </c>
    </row>
    <row r="1072" customFormat="false" ht="15" hidden="false" customHeight="false" outlineLevel="0" collapsed="false">
      <c r="A1072" s="2" t="s">
        <v>1109</v>
      </c>
      <c r="B1072" s="3" t="n">
        <v>46318</v>
      </c>
      <c r="C1072" s="2" t="s">
        <v>44</v>
      </c>
      <c r="D1072" s="2" t="s">
        <v>22</v>
      </c>
      <c r="E1072" s="2" t="s">
        <v>28</v>
      </c>
      <c r="F1072" s="2" t="s">
        <v>24</v>
      </c>
      <c r="G1072" s="2" t="s">
        <v>19</v>
      </c>
      <c r="H1072" s="2" t="n">
        <v>1.1</v>
      </c>
      <c r="I1072" s="2" t="n">
        <v>12.6</v>
      </c>
      <c r="J1072" s="2" t="s">
        <v>20</v>
      </c>
      <c r="K1072" s="2"/>
      <c r="L1072" s="3" t="n">
        <f aca="false">B1072-WEEKDAY(B1072,2)+1</f>
        <v>46314</v>
      </c>
      <c r="M1072" s="4" t="n">
        <f aca="false">IFERROR(INDEX(02_Parâmetros!$B$14:$B$17,MATCH(C1072,02_Parâmetros!$A$14:$A$17,0)),"")</f>
        <v>2</v>
      </c>
      <c r="N1072" s="2" t="str">
        <f aca="false">IF(OR(H1072="",M1072=""),"",IF(H1072&lt;=M1072,"Sim","Não"))</f>
        <v>Sim</v>
      </c>
    </row>
    <row r="1073" customFormat="false" ht="15" hidden="false" customHeight="false" outlineLevel="0" collapsed="false">
      <c r="A1073" s="2" t="s">
        <v>1110</v>
      </c>
      <c r="B1073" s="3" t="n">
        <v>46318</v>
      </c>
      <c r="C1073" s="2" t="s">
        <v>27</v>
      </c>
      <c r="D1073" s="2" t="s">
        <v>22</v>
      </c>
      <c r="E1073" s="2" t="s">
        <v>23</v>
      </c>
      <c r="F1073" s="2" t="s">
        <v>32</v>
      </c>
      <c r="G1073" s="2" t="s">
        <v>19</v>
      </c>
      <c r="H1073" s="2" t="n">
        <v>6.6</v>
      </c>
      <c r="I1073" s="2" t="n">
        <v>4</v>
      </c>
      <c r="J1073" s="2" t="s">
        <v>25</v>
      </c>
      <c r="K1073" s="2" t="n">
        <v>3</v>
      </c>
      <c r="L1073" s="3" t="n">
        <f aca="false">B1073-WEEKDAY(B1073,2)+1</f>
        <v>46314</v>
      </c>
      <c r="M1073" s="4" t="n">
        <f aca="false">IFERROR(INDEX(02_Parâmetros!$B$14:$B$17,MATCH(C1073,02_Parâmetros!$A$14:$A$17,0)),"")</f>
        <v>10</v>
      </c>
      <c r="N1073" s="2" t="str">
        <f aca="false">IF(OR(H1073="",M1073=""),"",IF(H1073&lt;=M1073,"Sim","Não"))</f>
        <v>Sim</v>
      </c>
    </row>
    <row r="1074" customFormat="false" ht="15" hidden="false" customHeight="false" outlineLevel="0" collapsed="false">
      <c r="A1074" s="2" t="s">
        <v>1111</v>
      </c>
      <c r="B1074" s="3" t="n">
        <v>46318</v>
      </c>
      <c r="C1074" s="2" t="s">
        <v>15</v>
      </c>
      <c r="D1074" s="2" t="s">
        <v>38</v>
      </c>
      <c r="E1074" s="2" t="s">
        <v>39</v>
      </c>
      <c r="F1074" s="2" t="s">
        <v>42</v>
      </c>
      <c r="G1074" s="2" t="s">
        <v>19</v>
      </c>
      <c r="H1074" s="2" t="n">
        <v>0.3</v>
      </c>
      <c r="I1074" s="2" t="n">
        <v>11.7</v>
      </c>
      <c r="J1074" s="2" t="s">
        <v>20</v>
      </c>
      <c r="K1074" s="2"/>
      <c r="L1074" s="3" t="n">
        <f aca="false">B1074-WEEKDAY(B1074,2)+1</f>
        <v>46314</v>
      </c>
      <c r="M1074" s="4" t="n">
        <f aca="false">IFERROR(INDEX(02_Parâmetros!$B$14:$B$17,MATCH(C1074,02_Parâmetros!$A$14:$A$17,0)),"")</f>
        <v>1</v>
      </c>
      <c r="N1074" s="2" t="str">
        <f aca="false">IF(OR(H1074="",M1074=""),"",IF(H1074&lt;=M1074,"Sim","Não"))</f>
        <v>Sim</v>
      </c>
    </row>
    <row r="1075" customFormat="false" ht="15" hidden="false" customHeight="false" outlineLevel="0" collapsed="false">
      <c r="A1075" s="2" t="s">
        <v>1112</v>
      </c>
      <c r="B1075" s="3" t="n">
        <v>46318</v>
      </c>
      <c r="C1075" s="2" t="s">
        <v>27</v>
      </c>
      <c r="D1075" s="2" t="s">
        <v>22</v>
      </c>
      <c r="E1075" s="2" t="s">
        <v>28</v>
      </c>
      <c r="F1075" s="2" t="s">
        <v>18</v>
      </c>
      <c r="G1075" s="2" t="s">
        <v>19</v>
      </c>
      <c r="H1075" s="2" t="n">
        <v>5.5</v>
      </c>
      <c r="I1075" s="2" t="n">
        <v>9.4</v>
      </c>
      <c r="J1075" s="2" t="s">
        <v>25</v>
      </c>
      <c r="K1075" s="2" t="n">
        <v>4</v>
      </c>
      <c r="L1075" s="3" t="n">
        <f aca="false">B1075-WEEKDAY(B1075,2)+1</f>
        <v>46314</v>
      </c>
      <c r="M1075" s="4" t="n">
        <f aca="false">IFERROR(INDEX(02_Parâmetros!$B$14:$B$17,MATCH(C1075,02_Parâmetros!$A$14:$A$17,0)),"")</f>
        <v>10</v>
      </c>
      <c r="N1075" s="2" t="str">
        <f aca="false">IF(OR(H1075="",M1075=""),"",IF(H1075&lt;=M1075,"Sim","Não"))</f>
        <v>Sim</v>
      </c>
    </row>
    <row r="1076" customFormat="false" ht="15" hidden="false" customHeight="false" outlineLevel="0" collapsed="false">
      <c r="A1076" s="2" t="s">
        <v>1113</v>
      </c>
      <c r="B1076" s="3" t="n">
        <v>46318</v>
      </c>
      <c r="C1076" s="2" t="s">
        <v>27</v>
      </c>
      <c r="D1076" s="2" t="s">
        <v>16</v>
      </c>
      <c r="E1076" s="2" t="s">
        <v>31</v>
      </c>
      <c r="F1076" s="2" t="s">
        <v>24</v>
      </c>
      <c r="G1076" s="2" t="s">
        <v>19</v>
      </c>
      <c r="H1076" s="2" t="n">
        <v>7.8</v>
      </c>
      <c r="I1076" s="2" t="n">
        <v>10.9</v>
      </c>
      <c r="J1076" s="2" t="s">
        <v>20</v>
      </c>
      <c r="K1076" s="2" t="n">
        <v>5</v>
      </c>
      <c r="L1076" s="3" t="n">
        <f aca="false">B1076-WEEKDAY(B1076,2)+1</f>
        <v>46314</v>
      </c>
      <c r="M1076" s="4" t="n">
        <f aca="false">IFERROR(INDEX(02_Parâmetros!$B$14:$B$17,MATCH(C1076,02_Parâmetros!$A$14:$A$17,0)),"")</f>
        <v>10</v>
      </c>
      <c r="N1076" s="2" t="str">
        <f aca="false">IF(OR(H1076="",M1076=""),"",IF(H1076&lt;=M1076,"Sim","Não"))</f>
        <v>Sim</v>
      </c>
    </row>
    <row r="1077" customFormat="false" ht="15" hidden="false" customHeight="false" outlineLevel="0" collapsed="false">
      <c r="A1077" s="2" t="s">
        <v>1114</v>
      </c>
      <c r="B1077" s="3" t="n">
        <v>46318</v>
      </c>
      <c r="C1077" s="2" t="s">
        <v>27</v>
      </c>
      <c r="D1077" s="2" t="s">
        <v>22</v>
      </c>
      <c r="E1077" s="2" t="s">
        <v>28</v>
      </c>
      <c r="F1077" s="2" t="s">
        <v>18</v>
      </c>
      <c r="G1077" s="2" t="s">
        <v>19</v>
      </c>
      <c r="H1077" s="2" t="n">
        <v>9.4</v>
      </c>
      <c r="I1077" s="2" t="n">
        <v>12.1</v>
      </c>
      <c r="J1077" s="2" t="s">
        <v>20</v>
      </c>
      <c r="K1077" s="2" t="n">
        <v>5</v>
      </c>
      <c r="L1077" s="3" t="n">
        <f aca="false">B1077-WEEKDAY(B1077,2)+1</f>
        <v>46314</v>
      </c>
      <c r="M1077" s="4" t="n">
        <f aca="false">IFERROR(INDEX(02_Parâmetros!$B$14:$B$17,MATCH(C1077,02_Parâmetros!$A$14:$A$17,0)),"")</f>
        <v>10</v>
      </c>
      <c r="N1077" s="2" t="str">
        <f aca="false">IF(OR(H1077="",M1077=""),"",IF(H1077&lt;=M1077,"Sim","Não"))</f>
        <v>Sim</v>
      </c>
    </row>
    <row r="1078" customFormat="false" ht="15" hidden="false" customHeight="false" outlineLevel="0" collapsed="false">
      <c r="A1078" s="2" t="s">
        <v>1115</v>
      </c>
      <c r="B1078" s="3" t="n">
        <v>46318</v>
      </c>
      <c r="C1078" s="2" t="s">
        <v>41</v>
      </c>
      <c r="D1078" s="2" t="s">
        <v>38</v>
      </c>
      <c r="E1078" s="2" t="s">
        <v>39</v>
      </c>
      <c r="F1078" s="2" t="s">
        <v>32</v>
      </c>
      <c r="G1078" s="2" t="s">
        <v>19</v>
      </c>
      <c r="H1078" s="2" t="n">
        <v>146.9</v>
      </c>
      <c r="I1078" s="2" t="n">
        <v>7.5</v>
      </c>
      <c r="J1078" s="2" t="s">
        <v>20</v>
      </c>
      <c r="K1078" s="2" t="n">
        <v>5</v>
      </c>
      <c r="L1078" s="3" t="n">
        <f aca="false">B1078-WEEKDAY(B1078,2)+1</f>
        <v>46314</v>
      </c>
      <c r="M1078" s="4" t="n">
        <f aca="false">IFERROR(INDEX(02_Parâmetros!$B$14:$B$17,MATCH(C1078,02_Parâmetros!$A$14:$A$17,0)),"")</f>
        <v>240</v>
      </c>
      <c r="N1078" s="2" t="str">
        <f aca="false">IF(OR(H1078="",M1078=""),"",IF(H1078&lt;=M1078,"Sim","Não"))</f>
        <v>Sim</v>
      </c>
    </row>
    <row r="1079" customFormat="false" ht="15" hidden="false" customHeight="false" outlineLevel="0" collapsed="false">
      <c r="A1079" s="2" t="s">
        <v>1116</v>
      </c>
      <c r="B1079" s="3" t="n">
        <v>46318</v>
      </c>
      <c r="C1079" s="2" t="s">
        <v>41</v>
      </c>
      <c r="D1079" s="2" t="s">
        <v>16</v>
      </c>
      <c r="E1079" s="2" t="s">
        <v>36</v>
      </c>
      <c r="F1079" s="2" t="s">
        <v>32</v>
      </c>
      <c r="G1079" s="2" t="s">
        <v>19</v>
      </c>
      <c r="H1079" s="2" t="n">
        <v>181.6</v>
      </c>
      <c r="I1079" s="2" t="n">
        <v>7</v>
      </c>
      <c r="J1079" s="2" t="s">
        <v>25</v>
      </c>
      <c r="K1079" s="2"/>
      <c r="L1079" s="3" t="n">
        <f aca="false">B1079-WEEKDAY(B1079,2)+1</f>
        <v>46314</v>
      </c>
      <c r="M1079" s="4" t="n">
        <f aca="false">IFERROR(INDEX(02_Parâmetros!$B$14:$B$17,MATCH(C1079,02_Parâmetros!$A$14:$A$17,0)),"")</f>
        <v>240</v>
      </c>
      <c r="N1079" s="2" t="str">
        <f aca="false">IF(OR(H1079="",M1079=""),"",IF(H1079&lt;=M1079,"Sim","Não"))</f>
        <v>Sim</v>
      </c>
    </row>
    <row r="1080" customFormat="false" ht="15" hidden="false" customHeight="false" outlineLevel="0" collapsed="false">
      <c r="A1080" s="2" t="s">
        <v>1117</v>
      </c>
      <c r="B1080" s="3" t="n">
        <v>46318</v>
      </c>
      <c r="C1080" s="2" t="s">
        <v>27</v>
      </c>
      <c r="D1080" s="2" t="s">
        <v>16</v>
      </c>
      <c r="E1080" s="2" t="s">
        <v>17</v>
      </c>
      <c r="F1080" s="2" t="s">
        <v>32</v>
      </c>
      <c r="G1080" s="2" t="s">
        <v>19</v>
      </c>
      <c r="H1080" s="2" t="n">
        <v>3.5</v>
      </c>
      <c r="I1080" s="2" t="n">
        <v>7</v>
      </c>
      <c r="J1080" s="2" t="s">
        <v>20</v>
      </c>
      <c r="K1080" s="2" t="n">
        <v>5</v>
      </c>
      <c r="L1080" s="3" t="n">
        <f aca="false">B1080-WEEKDAY(B1080,2)+1</f>
        <v>46314</v>
      </c>
      <c r="M1080" s="4" t="n">
        <f aca="false">IFERROR(INDEX(02_Parâmetros!$B$14:$B$17,MATCH(C1080,02_Parâmetros!$A$14:$A$17,0)),"")</f>
        <v>10</v>
      </c>
      <c r="N1080" s="2" t="str">
        <f aca="false">IF(OR(H1080="",M1080=""),"",IF(H1080&lt;=M1080,"Sim","Não"))</f>
        <v>Sim</v>
      </c>
    </row>
    <row r="1081" customFormat="false" ht="15" hidden="false" customHeight="false" outlineLevel="0" collapsed="false">
      <c r="A1081" s="2" t="s">
        <v>1118</v>
      </c>
      <c r="B1081" s="3" t="n">
        <v>46318</v>
      </c>
      <c r="C1081" s="2" t="s">
        <v>41</v>
      </c>
      <c r="D1081" s="2" t="s">
        <v>16</v>
      </c>
      <c r="E1081" s="2" t="s">
        <v>17</v>
      </c>
      <c r="F1081" s="2" t="s">
        <v>18</v>
      </c>
      <c r="G1081" s="2" t="s">
        <v>19</v>
      </c>
      <c r="H1081" s="2" t="n">
        <v>176</v>
      </c>
      <c r="I1081" s="2" t="n">
        <v>12.4</v>
      </c>
      <c r="J1081" s="2" t="s">
        <v>20</v>
      </c>
      <c r="K1081" s="2"/>
      <c r="L1081" s="3" t="n">
        <f aca="false">B1081-WEEKDAY(B1081,2)+1</f>
        <v>46314</v>
      </c>
      <c r="M1081" s="4" t="n">
        <f aca="false">IFERROR(INDEX(02_Parâmetros!$B$14:$B$17,MATCH(C1081,02_Parâmetros!$A$14:$A$17,0)),"")</f>
        <v>240</v>
      </c>
      <c r="N1081" s="2" t="str">
        <f aca="false">IF(OR(H1081="",M1081=""),"",IF(H1081&lt;=M1081,"Sim","Não"))</f>
        <v>Sim</v>
      </c>
    </row>
    <row r="1082" customFormat="false" ht="15" hidden="false" customHeight="false" outlineLevel="0" collapsed="false">
      <c r="A1082" s="2" t="s">
        <v>1119</v>
      </c>
      <c r="B1082" s="3" t="n">
        <v>46318</v>
      </c>
      <c r="C1082" s="2" t="s">
        <v>44</v>
      </c>
      <c r="D1082" s="2" t="s">
        <v>16</v>
      </c>
      <c r="E1082" s="2" t="s">
        <v>36</v>
      </c>
      <c r="F1082" s="2" t="s">
        <v>18</v>
      </c>
      <c r="G1082" s="2" t="s">
        <v>19</v>
      </c>
      <c r="H1082" s="2" t="n">
        <v>1.8</v>
      </c>
      <c r="I1082" s="2" t="n">
        <v>10</v>
      </c>
      <c r="J1082" s="2" t="s">
        <v>20</v>
      </c>
      <c r="K1082" s="2" t="n">
        <v>5</v>
      </c>
      <c r="L1082" s="3" t="n">
        <f aca="false">B1082-WEEKDAY(B1082,2)+1</f>
        <v>46314</v>
      </c>
      <c r="M1082" s="4" t="n">
        <f aca="false">IFERROR(INDEX(02_Parâmetros!$B$14:$B$17,MATCH(C1082,02_Parâmetros!$A$14:$A$17,0)),"")</f>
        <v>2</v>
      </c>
      <c r="N1082" s="2" t="str">
        <f aca="false">IF(OR(H1082="",M1082=""),"",IF(H1082&lt;=M1082,"Sim","Não"))</f>
        <v>Sim</v>
      </c>
    </row>
    <row r="1083" customFormat="false" ht="15" hidden="false" customHeight="false" outlineLevel="0" collapsed="false">
      <c r="A1083" s="2" t="s">
        <v>1120</v>
      </c>
      <c r="B1083" s="3" t="n">
        <v>46318</v>
      </c>
      <c r="C1083" s="2" t="s">
        <v>41</v>
      </c>
      <c r="D1083" s="2" t="s">
        <v>22</v>
      </c>
      <c r="E1083" s="2" t="s">
        <v>23</v>
      </c>
      <c r="F1083" s="2" t="s">
        <v>24</v>
      </c>
      <c r="G1083" s="2" t="s">
        <v>19</v>
      </c>
      <c r="H1083" s="2" t="n">
        <v>234.9</v>
      </c>
      <c r="I1083" s="2" t="n">
        <v>19.9</v>
      </c>
      <c r="J1083" s="2" t="s">
        <v>20</v>
      </c>
      <c r="K1083" s="2" t="n">
        <v>1</v>
      </c>
      <c r="L1083" s="3" t="n">
        <f aca="false">B1083-WEEKDAY(B1083,2)+1</f>
        <v>46314</v>
      </c>
      <c r="M1083" s="4" t="n">
        <f aca="false">IFERROR(INDEX(02_Parâmetros!$B$14:$B$17,MATCH(C1083,02_Parâmetros!$A$14:$A$17,0)),"")</f>
        <v>240</v>
      </c>
      <c r="N1083" s="2" t="str">
        <f aca="false">IF(OR(H1083="",M1083=""),"",IF(H1083&lt;=M1083,"Sim","Não"))</f>
        <v>Sim</v>
      </c>
    </row>
    <row r="1084" customFormat="false" ht="15" hidden="false" customHeight="false" outlineLevel="0" collapsed="false">
      <c r="A1084" s="2" t="s">
        <v>1121</v>
      </c>
      <c r="B1084" s="3" t="n">
        <v>46321</v>
      </c>
      <c r="C1084" s="2" t="s">
        <v>41</v>
      </c>
      <c r="D1084" s="2" t="s">
        <v>22</v>
      </c>
      <c r="E1084" s="2" t="s">
        <v>28</v>
      </c>
      <c r="F1084" s="2" t="s">
        <v>42</v>
      </c>
      <c r="G1084" s="2" t="s">
        <v>19</v>
      </c>
      <c r="H1084" s="2" t="n">
        <v>177.6</v>
      </c>
      <c r="I1084" s="2" t="n">
        <v>10.2</v>
      </c>
      <c r="J1084" s="2" t="s">
        <v>20</v>
      </c>
      <c r="K1084" s="2" t="n">
        <v>3</v>
      </c>
      <c r="L1084" s="3" t="n">
        <f aca="false">B1084-WEEKDAY(B1084,2)+1</f>
        <v>46321</v>
      </c>
      <c r="M1084" s="4" t="n">
        <f aca="false">IFERROR(INDEX(02_Parâmetros!$B$14:$B$17,MATCH(C1084,02_Parâmetros!$A$14:$A$17,0)),"")</f>
        <v>240</v>
      </c>
      <c r="N1084" s="2" t="str">
        <f aca="false">IF(OR(H1084="",M1084=""),"",IF(H1084&lt;=M1084,"Sim","Não"))</f>
        <v>Sim</v>
      </c>
    </row>
    <row r="1085" customFormat="false" ht="15" hidden="false" customHeight="false" outlineLevel="0" collapsed="false">
      <c r="A1085" s="2" t="s">
        <v>1122</v>
      </c>
      <c r="B1085" s="3" t="n">
        <v>46321</v>
      </c>
      <c r="C1085" s="2" t="s">
        <v>27</v>
      </c>
      <c r="D1085" s="2" t="s">
        <v>22</v>
      </c>
      <c r="E1085" s="2" t="s">
        <v>28</v>
      </c>
      <c r="F1085" s="2" t="s">
        <v>32</v>
      </c>
      <c r="G1085" s="2" t="s">
        <v>78</v>
      </c>
      <c r="H1085" s="2" t="n">
        <v>7.4</v>
      </c>
      <c r="I1085" s="2" t="n">
        <v>3.8</v>
      </c>
      <c r="J1085" s="2"/>
      <c r="K1085" s="2" t="n">
        <v>5</v>
      </c>
      <c r="L1085" s="3" t="n">
        <f aca="false">B1085-WEEKDAY(B1085,2)+1</f>
        <v>46321</v>
      </c>
      <c r="M1085" s="4" t="n">
        <f aca="false">IFERROR(INDEX(02_Parâmetros!$B$14:$B$17,MATCH(C1085,02_Parâmetros!$A$14:$A$17,0)),"")</f>
        <v>10</v>
      </c>
      <c r="N1085" s="2" t="str">
        <f aca="false">IF(OR(H1085="",M1085=""),"",IF(H1085&lt;=M1085,"Sim","Não"))</f>
        <v>Sim</v>
      </c>
    </row>
    <row r="1086" customFormat="false" ht="15" hidden="false" customHeight="false" outlineLevel="0" collapsed="false">
      <c r="A1086" s="2" t="s">
        <v>1123</v>
      </c>
      <c r="B1086" s="3" t="n">
        <v>46321</v>
      </c>
      <c r="C1086" s="2" t="s">
        <v>27</v>
      </c>
      <c r="D1086" s="2" t="s">
        <v>16</v>
      </c>
      <c r="E1086" s="2" t="s">
        <v>17</v>
      </c>
      <c r="F1086" s="2" t="s">
        <v>24</v>
      </c>
      <c r="G1086" s="2" t="s">
        <v>19</v>
      </c>
      <c r="H1086" s="2" t="n">
        <v>8</v>
      </c>
      <c r="I1086" s="2" t="n">
        <v>9.7</v>
      </c>
      <c r="J1086" s="2" t="s">
        <v>20</v>
      </c>
      <c r="K1086" s="2" t="n">
        <v>4</v>
      </c>
      <c r="L1086" s="3" t="n">
        <f aca="false">B1086-WEEKDAY(B1086,2)+1</f>
        <v>46321</v>
      </c>
      <c r="M1086" s="4" t="n">
        <f aca="false">IFERROR(INDEX(02_Parâmetros!$B$14:$B$17,MATCH(C1086,02_Parâmetros!$A$14:$A$17,0)),"")</f>
        <v>10</v>
      </c>
      <c r="N1086" s="2" t="str">
        <f aca="false">IF(OR(H1086="",M1086=""),"",IF(H1086&lt;=M1086,"Sim","Não"))</f>
        <v>Sim</v>
      </c>
    </row>
    <row r="1087" customFormat="false" ht="15" hidden="false" customHeight="false" outlineLevel="0" collapsed="false">
      <c r="A1087" s="2" t="s">
        <v>1124</v>
      </c>
      <c r="B1087" s="3" t="n">
        <v>46321</v>
      </c>
      <c r="C1087" s="2" t="s">
        <v>27</v>
      </c>
      <c r="D1087" s="2" t="s">
        <v>38</v>
      </c>
      <c r="E1087" s="2" t="s">
        <v>39</v>
      </c>
      <c r="F1087" s="2" t="s">
        <v>24</v>
      </c>
      <c r="G1087" s="2" t="s">
        <v>19</v>
      </c>
      <c r="H1087" s="2"/>
      <c r="I1087" s="2" t="n">
        <v>12.4</v>
      </c>
      <c r="J1087" s="2" t="s">
        <v>20</v>
      </c>
      <c r="K1087" s="2"/>
      <c r="L1087" s="3" t="n">
        <f aca="false">B1087-WEEKDAY(B1087,2)+1</f>
        <v>46321</v>
      </c>
      <c r="M1087" s="4" t="n">
        <f aca="false">IFERROR(INDEX(02_Parâmetros!$B$14:$B$17,MATCH(C1087,02_Parâmetros!$A$14:$A$17,0)),"")</f>
        <v>10</v>
      </c>
      <c r="N1087" s="2" t="str">
        <f aca="false">IF(OR(H1087="",M1087=""),"",IF(H1087&lt;=M1087,"Sim","Não"))</f>
        <v/>
      </c>
    </row>
    <row r="1088" customFormat="false" ht="15" hidden="false" customHeight="false" outlineLevel="0" collapsed="false">
      <c r="A1088" s="2" t="s">
        <v>1125</v>
      </c>
      <c r="B1088" s="3" t="n">
        <v>46321</v>
      </c>
      <c r="C1088" s="2" t="s">
        <v>27</v>
      </c>
      <c r="D1088" s="2" t="s">
        <v>22</v>
      </c>
      <c r="E1088" s="2" t="s">
        <v>28</v>
      </c>
      <c r="F1088" s="2" t="s">
        <v>18</v>
      </c>
      <c r="G1088" s="2" t="s">
        <v>19</v>
      </c>
      <c r="H1088" s="2" t="n">
        <v>21.5</v>
      </c>
      <c r="I1088" s="2" t="n">
        <v>8.4</v>
      </c>
      <c r="J1088" s="2" t="s">
        <v>20</v>
      </c>
      <c r="K1088" s="2"/>
      <c r="L1088" s="3" t="n">
        <f aca="false">B1088-WEEKDAY(B1088,2)+1</f>
        <v>46321</v>
      </c>
      <c r="M1088" s="4" t="n">
        <f aca="false">IFERROR(INDEX(02_Parâmetros!$B$14:$B$17,MATCH(C1088,02_Parâmetros!$A$14:$A$17,0)),"")</f>
        <v>10</v>
      </c>
      <c r="N1088" s="2" t="str">
        <f aca="false">IF(OR(H1088="",M1088=""),"",IF(H1088&lt;=M1088,"Sim","Não"))</f>
        <v>Não</v>
      </c>
    </row>
    <row r="1089" customFormat="false" ht="15" hidden="false" customHeight="false" outlineLevel="0" collapsed="false">
      <c r="A1089" s="2" t="s">
        <v>1126</v>
      </c>
      <c r="B1089" s="3" t="n">
        <v>46321</v>
      </c>
      <c r="C1089" s="2" t="s">
        <v>41</v>
      </c>
      <c r="D1089" s="2" t="s">
        <v>22</v>
      </c>
      <c r="E1089" s="2" t="s">
        <v>28</v>
      </c>
      <c r="F1089" s="2" t="s">
        <v>34</v>
      </c>
      <c r="G1089" s="2" t="s">
        <v>19</v>
      </c>
      <c r="H1089" s="2" t="n">
        <v>148.4</v>
      </c>
      <c r="I1089" s="2" t="n">
        <v>7.2</v>
      </c>
      <c r="J1089" s="2" t="s">
        <v>20</v>
      </c>
      <c r="K1089" s="2" t="n">
        <v>3</v>
      </c>
      <c r="L1089" s="3" t="n">
        <f aca="false">B1089-WEEKDAY(B1089,2)+1</f>
        <v>46321</v>
      </c>
      <c r="M1089" s="4" t="n">
        <f aca="false">IFERROR(INDEX(02_Parâmetros!$B$14:$B$17,MATCH(C1089,02_Parâmetros!$A$14:$A$17,0)),"")</f>
        <v>240</v>
      </c>
      <c r="N1089" s="2" t="str">
        <f aca="false">IF(OR(H1089="",M1089=""),"",IF(H1089&lt;=M1089,"Sim","Não"))</f>
        <v>Sim</v>
      </c>
    </row>
    <row r="1090" customFormat="false" ht="15" hidden="false" customHeight="false" outlineLevel="0" collapsed="false">
      <c r="A1090" s="2" t="s">
        <v>1127</v>
      </c>
      <c r="B1090" s="3" t="n">
        <v>46321</v>
      </c>
      <c r="C1090" s="2" t="s">
        <v>15</v>
      </c>
      <c r="D1090" s="2" t="s">
        <v>16</v>
      </c>
      <c r="E1090" s="2" t="s">
        <v>36</v>
      </c>
      <c r="F1090" s="2" t="s">
        <v>24</v>
      </c>
      <c r="G1090" s="2" t="s">
        <v>19</v>
      </c>
      <c r="H1090" s="2" t="n">
        <v>0.4</v>
      </c>
      <c r="I1090" s="2" t="n">
        <v>11.8</v>
      </c>
      <c r="J1090" s="2" t="s">
        <v>20</v>
      </c>
      <c r="K1090" s="2"/>
      <c r="L1090" s="3" t="n">
        <f aca="false">B1090-WEEKDAY(B1090,2)+1</f>
        <v>46321</v>
      </c>
      <c r="M1090" s="4" t="n">
        <f aca="false">IFERROR(INDEX(02_Parâmetros!$B$14:$B$17,MATCH(C1090,02_Parâmetros!$A$14:$A$17,0)),"")</f>
        <v>1</v>
      </c>
      <c r="N1090" s="2" t="str">
        <f aca="false">IF(OR(H1090="",M1090=""),"",IF(H1090&lt;=M1090,"Sim","Não"))</f>
        <v>Sim</v>
      </c>
    </row>
    <row r="1091" customFormat="false" ht="15" hidden="false" customHeight="false" outlineLevel="0" collapsed="false">
      <c r="A1091" s="2" t="s">
        <v>1128</v>
      </c>
      <c r="B1091" s="3" t="n">
        <v>46321</v>
      </c>
      <c r="C1091" s="2" t="s">
        <v>27</v>
      </c>
      <c r="D1091" s="2" t="s">
        <v>38</v>
      </c>
      <c r="E1091" s="2" t="s">
        <v>56</v>
      </c>
      <c r="F1091" s="2" t="s">
        <v>24</v>
      </c>
      <c r="G1091" s="2" t="s">
        <v>19</v>
      </c>
      <c r="H1091" s="2" t="n">
        <v>5.2</v>
      </c>
      <c r="I1091" s="2" t="n">
        <v>4.8</v>
      </c>
      <c r="J1091" s="2" t="s">
        <v>20</v>
      </c>
      <c r="K1091" s="2"/>
      <c r="L1091" s="3" t="n">
        <f aca="false">B1091-WEEKDAY(B1091,2)+1</f>
        <v>46321</v>
      </c>
      <c r="M1091" s="4" t="n">
        <f aca="false">IFERROR(INDEX(02_Parâmetros!$B$14:$B$17,MATCH(C1091,02_Parâmetros!$A$14:$A$17,0)),"")</f>
        <v>10</v>
      </c>
      <c r="N1091" s="2" t="str">
        <f aca="false">IF(OR(H1091="",M1091=""),"",IF(H1091&lt;=M1091,"Sim","Não"))</f>
        <v>Sim</v>
      </c>
    </row>
    <row r="1092" customFormat="false" ht="15" hidden="false" customHeight="false" outlineLevel="0" collapsed="false">
      <c r="A1092" s="2" t="s">
        <v>1129</v>
      </c>
      <c r="B1092" s="3" t="n">
        <v>46321</v>
      </c>
      <c r="C1092" s="2" t="s">
        <v>44</v>
      </c>
      <c r="D1092" s="2" t="s">
        <v>38</v>
      </c>
      <c r="E1092" s="2" t="s">
        <v>47</v>
      </c>
      <c r="F1092" s="2" t="s">
        <v>70</v>
      </c>
      <c r="G1092" s="2" t="s">
        <v>19</v>
      </c>
      <c r="H1092" s="2" t="n">
        <v>5.5</v>
      </c>
      <c r="I1092" s="2" t="n">
        <v>9.5</v>
      </c>
      <c r="J1092" s="2" t="s">
        <v>20</v>
      </c>
      <c r="K1092" s="2"/>
      <c r="L1092" s="3" t="n">
        <f aca="false">B1092-WEEKDAY(B1092,2)+1</f>
        <v>46321</v>
      </c>
      <c r="M1092" s="4" t="n">
        <f aca="false">IFERROR(INDEX(02_Parâmetros!$B$14:$B$17,MATCH(C1092,02_Parâmetros!$A$14:$A$17,0)),"")</f>
        <v>2</v>
      </c>
      <c r="N1092" s="2" t="str">
        <f aca="false">IF(OR(H1092="",M1092=""),"",IF(H1092&lt;=M1092,"Sim","Não"))</f>
        <v>Não</v>
      </c>
    </row>
    <row r="1093" customFormat="false" ht="15" hidden="false" customHeight="false" outlineLevel="0" collapsed="false">
      <c r="A1093" s="2" t="s">
        <v>1130</v>
      </c>
      <c r="B1093" s="3" t="n">
        <v>46321</v>
      </c>
      <c r="C1093" s="2" t="s">
        <v>41</v>
      </c>
      <c r="D1093" s="2" t="s">
        <v>38</v>
      </c>
      <c r="E1093" s="2" t="s">
        <v>47</v>
      </c>
      <c r="F1093" s="2" t="s">
        <v>32</v>
      </c>
      <c r="G1093" s="2" t="s">
        <v>19</v>
      </c>
      <c r="H1093" s="2" t="n">
        <v>108</v>
      </c>
      <c r="I1093" s="2" t="n">
        <v>11.8</v>
      </c>
      <c r="J1093" s="2" t="s">
        <v>20</v>
      </c>
      <c r="K1093" s="2" t="n">
        <v>5</v>
      </c>
      <c r="L1093" s="3" t="n">
        <f aca="false">B1093-WEEKDAY(B1093,2)+1</f>
        <v>46321</v>
      </c>
      <c r="M1093" s="4" t="n">
        <f aca="false">IFERROR(INDEX(02_Parâmetros!$B$14:$B$17,MATCH(C1093,02_Parâmetros!$A$14:$A$17,0)),"")</f>
        <v>240</v>
      </c>
      <c r="N1093" s="2" t="str">
        <f aca="false">IF(OR(H1093="",M1093=""),"",IF(H1093&lt;=M1093,"Sim","Não"))</f>
        <v>Sim</v>
      </c>
    </row>
    <row r="1094" customFormat="false" ht="15" hidden="false" customHeight="false" outlineLevel="0" collapsed="false">
      <c r="A1094" s="2" t="s">
        <v>1131</v>
      </c>
      <c r="B1094" s="3" t="n">
        <v>46321</v>
      </c>
      <c r="C1094" s="2" t="s">
        <v>44</v>
      </c>
      <c r="D1094" s="2" t="s">
        <v>38</v>
      </c>
      <c r="E1094" s="2" t="s">
        <v>39</v>
      </c>
      <c r="F1094" s="2" t="s">
        <v>18</v>
      </c>
      <c r="G1094" s="2" t="s">
        <v>19</v>
      </c>
      <c r="H1094" s="2" t="n">
        <v>1.1</v>
      </c>
      <c r="I1094" s="2" t="n">
        <v>11.7</v>
      </c>
      <c r="J1094" s="2" t="s">
        <v>25</v>
      </c>
      <c r="K1094" s="2" t="n">
        <v>2</v>
      </c>
      <c r="L1094" s="3" t="n">
        <f aca="false">B1094-WEEKDAY(B1094,2)+1</f>
        <v>46321</v>
      </c>
      <c r="M1094" s="4" t="n">
        <f aca="false">IFERROR(INDEX(02_Parâmetros!$B$14:$B$17,MATCH(C1094,02_Parâmetros!$A$14:$A$17,0)),"")</f>
        <v>2</v>
      </c>
      <c r="N1094" s="2" t="str">
        <f aca="false">IF(OR(H1094="",M1094=""),"",IF(H1094&lt;=M1094,"Sim","Não"))</f>
        <v>Sim</v>
      </c>
    </row>
    <row r="1095" customFormat="false" ht="15" hidden="false" customHeight="false" outlineLevel="0" collapsed="false">
      <c r="A1095" s="2" t="s">
        <v>1132</v>
      </c>
      <c r="B1095" s="3" t="n">
        <v>46321</v>
      </c>
      <c r="C1095" s="2" t="s">
        <v>41</v>
      </c>
      <c r="D1095" s="2" t="s">
        <v>22</v>
      </c>
      <c r="E1095" s="2" t="s">
        <v>23</v>
      </c>
      <c r="F1095" s="2" t="s">
        <v>42</v>
      </c>
      <c r="G1095" s="2" t="s">
        <v>19</v>
      </c>
      <c r="H1095" s="2" t="n">
        <v>138</v>
      </c>
      <c r="I1095" s="2" t="n">
        <v>7.7</v>
      </c>
      <c r="J1095" s="2" t="s">
        <v>20</v>
      </c>
      <c r="K1095" s="2"/>
      <c r="L1095" s="3" t="n">
        <f aca="false">B1095-WEEKDAY(B1095,2)+1</f>
        <v>46321</v>
      </c>
      <c r="M1095" s="4" t="n">
        <f aca="false">IFERROR(INDEX(02_Parâmetros!$B$14:$B$17,MATCH(C1095,02_Parâmetros!$A$14:$A$17,0)),"")</f>
        <v>240</v>
      </c>
      <c r="N1095" s="2" t="str">
        <f aca="false">IF(OR(H1095="",M1095=""),"",IF(H1095&lt;=M1095,"Sim","Não"))</f>
        <v>Sim</v>
      </c>
    </row>
    <row r="1096" customFormat="false" ht="15" hidden="false" customHeight="false" outlineLevel="0" collapsed="false">
      <c r="A1096" s="2" t="s">
        <v>1133</v>
      </c>
      <c r="B1096" s="3" t="n">
        <v>46321</v>
      </c>
      <c r="C1096" s="2" t="s">
        <v>27</v>
      </c>
      <c r="D1096" s="2" t="s">
        <v>38</v>
      </c>
      <c r="E1096" s="2" t="s">
        <v>56</v>
      </c>
      <c r="F1096" s="2" t="s">
        <v>34</v>
      </c>
      <c r="G1096" s="2" t="s">
        <v>19</v>
      </c>
      <c r="H1096" s="2" t="n">
        <v>6.9</v>
      </c>
      <c r="I1096" s="2" t="n">
        <v>5.5</v>
      </c>
      <c r="J1096" s="2" t="s">
        <v>20</v>
      </c>
      <c r="K1096" s="2"/>
      <c r="L1096" s="3" t="n">
        <f aca="false">B1096-WEEKDAY(B1096,2)+1</f>
        <v>46321</v>
      </c>
      <c r="M1096" s="4" t="n">
        <f aca="false">IFERROR(INDEX(02_Parâmetros!$B$14:$B$17,MATCH(C1096,02_Parâmetros!$A$14:$A$17,0)),"")</f>
        <v>10</v>
      </c>
      <c r="N1096" s="2" t="str">
        <f aca="false">IF(OR(H1096="",M1096=""),"",IF(H1096&lt;=M1096,"Sim","Não"))</f>
        <v>Sim</v>
      </c>
    </row>
    <row r="1097" customFormat="false" ht="15" hidden="false" customHeight="false" outlineLevel="0" collapsed="false">
      <c r="A1097" s="2" t="s">
        <v>1134</v>
      </c>
      <c r="B1097" s="3" t="n">
        <v>46321</v>
      </c>
      <c r="C1097" s="2" t="s">
        <v>41</v>
      </c>
      <c r="D1097" s="2" t="s">
        <v>16</v>
      </c>
      <c r="E1097" s="2" t="s">
        <v>17</v>
      </c>
      <c r="F1097" s="2" t="s">
        <v>42</v>
      </c>
      <c r="G1097" s="2" t="s">
        <v>19</v>
      </c>
      <c r="H1097" s="2" t="n">
        <v>82.1</v>
      </c>
      <c r="I1097" s="2" t="n">
        <v>16.7</v>
      </c>
      <c r="J1097" s="2" t="s">
        <v>20</v>
      </c>
      <c r="K1097" s="2"/>
      <c r="L1097" s="3" t="n">
        <f aca="false">B1097-WEEKDAY(B1097,2)+1</f>
        <v>46321</v>
      </c>
      <c r="M1097" s="4" t="n">
        <f aca="false">IFERROR(INDEX(02_Parâmetros!$B$14:$B$17,MATCH(C1097,02_Parâmetros!$A$14:$A$17,0)),"")</f>
        <v>240</v>
      </c>
      <c r="N1097" s="2" t="str">
        <f aca="false">IF(OR(H1097="",M1097=""),"",IF(H1097&lt;=M1097,"Sim","Não"))</f>
        <v>Sim</v>
      </c>
    </row>
    <row r="1098" customFormat="false" ht="15" hidden="false" customHeight="false" outlineLevel="0" collapsed="false">
      <c r="A1098" s="2" t="s">
        <v>1135</v>
      </c>
      <c r="B1098" s="3" t="n">
        <v>46321</v>
      </c>
      <c r="C1098" s="2" t="s">
        <v>27</v>
      </c>
      <c r="D1098" s="2" t="s">
        <v>22</v>
      </c>
      <c r="E1098" s="2" t="s">
        <v>28</v>
      </c>
      <c r="F1098" s="2" t="s">
        <v>42</v>
      </c>
      <c r="G1098" s="2" t="s">
        <v>19</v>
      </c>
      <c r="H1098" s="2" t="n">
        <v>3.5</v>
      </c>
      <c r="I1098" s="2" t="n">
        <v>5.9</v>
      </c>
      <c r="J1098" s="2" t="s">
        <v>20</v>
      </c>
      <c r="K1098" s="2" t="n">
        <v>4</v>
      </c>
      <c r="L1098" s="3" t="n">
        <f aca="false">B1098-WEEKDAY(B1098,2)+1</f>
        <v>46321</v>
      </c>
      <c r="M1098" s="4" t="n">
        <f aca="false">IFERROR(INDEX(02_Parâmetros!$B$14:$B$17,MATCH(C1098,02_Parâmetros!$A$14:$A$17,0)),"")</f>
        <v>10</v>
      </c>
      <c r="N1098" s="2" t="str">
        <f aca="false">IF(OR(H1098="",M1098=""),"",IF(H1098&lt;=M1098,"Sim","Não"))</f>
        <v>Sim</v>
      </c>
    </row>
    <row r="1099" customFormat="false" ht="15" hidden="false" customHeight="false" outlineLevel="0" collapsed="false">
      <c r="A1099" s="2" t="s">
        <v>1136</v>
      </c>
      <c r="B1099" s="3" t="n">
        <v>46321</v>
      </c>
      <c r="C1099" s="2" t="s">
        <v>27</v>
      </c>
      <c r="D1099" s="2" t="s">
        <v>22</v>
      </c>
      <c r="E1099" s="2" t="s">
        <v>28</v>
      </c>
      <c r="F1099" s="2" t="s">
        <v>18</v>
      </c>
      <c r="G1099" s="2" t="s">
        <v>19</v>
      </c>
      <c r="H1099" s="2" t="n">
        <v>6.3</v>
      </c>
      <c r="I1099" s="2" t="n">
        <v>5.7</v>
      </c>
      <c r="J1099" s="2" t="s">
        <v>25</v>
      </c>
      <c r="K1099" s="2"/>
      <c r="L1099" s="3" t="n">
        <f aca="false">B1099-WEEKDAY(B1099,2)+1</f>
        <v>46321</v>
      </c>
      <c r="M1099" s="4" t="n">
        <f aca="false">IFERROR(INDEX(02_Parâmetros!$B$14:$B$17,MATCH(C1099,02_Parâmetros!$A$14:$A$17,0)),"")</f>
        <v>10</v>
      </c>
      <c r="N1099" s="2" t="str">
        <f aca="false">IF(OR(H1099="",M1099=""),"",IF(H1099&lt;=M1099,"Sim","Não"))</f>
        <v>Sim</v>
      </c>
    </row>
    <row r="1100" customFormat="false" ht="15" hidden="false" customHeight="false" outlineLevel="0" collapsed="false">
      <c r="A1100" s="2" t="s">
        <v>1137</v>
      </c>
      <c r="B1100" s="3" t="n">
        <v>46321</v>
      </c>
      <c r="C1100" s="2" t="s">
        <v>41</v>
      </c>
      <c r="D1100" s="2" t="s">
        <v>38</v>
      </c>
      <c r="E1100" s="2" t="s">
        <v>39</v>
      </c>
      <c r="F1100" s="2" t="s">
        <v>18</v>
      </c>
      <c r="G1100" s="2" t="s">
        <v>19</v>
      </c>
      <c r="H1100" s="2" t="n">
        <v>99.8</v>
      </c>
      <c r="I1100" s="2" t="n">
        <v>11.4</v>
      </c>
      <c r="J1100" s="2" t="s">
        <v>20</v>
      </c>
      <c r="K1100" s="2" t="n">
        <v>4</v>
      </c>
      <c r="L1100" s="3" t="n">
        <f aca="false">B1100-WEEKDAY(B1100,2)+1</f>
        <v>46321</v>
      </c>
      <c r="M1100" s="4" t="n">
        <f aca="false">IFERROR(INDEX(02_Parâmetros!$B$14:$B$17,MATCH(C1100,02_Parâmetros!$A$14:$A$17,0)),"")</f>
        <v>240</v>
      </c>
      <c r="N1100" s="2" t="str">
        <f aca="false">IF(OR(H1100="",M1100=""),"",IF(H1100&lt;=M1100,"Sim","Não"))</f>
        <v>Sim</v>
      </c>
    </row>
    <row r="1101" customFormat="false" ht="15" hidden="false" customHeight="false" outlineLevel="0" collapsed="false">
      <c r="A1101" s="2" t="s">
        <v>1138</v>
      </c>
      <c r="B1101" s="3" t="n">
        <v>46321</v>
      </c>
      <c r="C1101" s="2" t="s">
        <v>41</v>
      </c>
      <c r="D1101" s="2" t="s">
        <v>38</v>
      </c>
      <c r="E1101" s="2" t="s">
        <v>39</v>
      </c>
      <c r="F1101" s="2" t="s">
        <v>42</v>
      </c>
      <c r="G1101" s="2" t="s">
        <v>19</v>
      </c>
      <c r="H1101" s="2" t="n">
        <v>86</v>
      </c>
      <c r="I1101" s="2" t="n">
        <v>7.3</v>
      </c>
      <c r="J1101" s="2" t="s">
        <v>20</v>
      </c>
      <c r="K1101" s="2"/>
      <c r="L1101" s="3" t="n">
        <f aca="false">B1101-WEEKDAY(B1101,2)+1</f>
        <v>46321</v>
      </c>
      <c r="M1101" s="4" t="n">
        <f aca="false">IFERROR(INDEX(02_Parâmetros!$B$14:$B$17,MATCH(C1101,02_Parâmetros!$A$14:$A$17,0)),"")</f>
        <v>240</v>
      </c>
      <c r="N1101" s="2" t="str">
        <f aca="false">IF(OR(H1101="",M1101=""),"",IF(H1101&lt;=M1101,"Sim","Não"))</f>
        <v>Sim</v>
      </c>
    </row>
    <row r="1102" customFormat="false" ht="15" hidden="false" customHeight="false" outlineLevel="0" collapsed="false">
      <c r="A1102" s="2" t="s">
        <v>1139</v>
      </c>
      <c r="B1102" s="3" t="n">
        <v>46321</v>
      </c>
      <c r="C1102" s="2" t="s">
        <v>27</v>
      </c>
      <c r="D1102" s="2" t="s">
        <v>22</v>
      </c>
      <c r="E1102" s="2" t="s">
        <v>23</v>
      </c>
      <c r="F1102" s="2" t="s">
        <v>18</v>
      </c>
      <c r="G1102" s="2" t="s">
        <v>19</v>
      </c>
      <c r="H1102" s="2" t="n">
        <v>6.2</v>
      </c>
      <c r="I1102" s="2" t="n">
        <v>11.3</v>
      </c>
      <c r="J1102" s="2" t="s">
        <v>20</v>
      </c>
      <c r="K1102" s="2"/>
      <c r="L1102" s="3" t="n">
        <f aca="false">B1102-WEEKDAY(B1102,2)+1</f>
        <v>46321</v>
      </c>
      <c r="M1102" s="4" t="n">
        <f aca="false">IFERROR(INDEX(02_Parâmetros!$B$14:$B$17,MATCH(C1102,02_Parâmetros!$A$14:$A$17,0)),"")</f>
        <v>10</v>
      </c>
      <c r="N1102" s="2" t="str">
        <f aca="false">IF(OR(H1102="",M1102=""),"",IF(H1102&lt;=M1102,"Sim","Não"))</f>
        <v>Sim</v>
      </c>
    </row>
    <row r="1103" customFormat="false" ht="15" hidden="false" customHeight="false" outlineLevel="0" collapsed="false">
      <c r="A1103" s="2" t="s">
        <v>1140</v>
      </c>
      <c r="B1103" s="3" t="n">
        <v>46321</v>
      </c>
      <c r="C1103" s="2" t="s">
        <v>27</v>
      </c>
      <c r="D1103" s="2" t="s">
        <v>16</v>
      </c>
      <c r="E1103" s="2" t="s">
        <v>31</v>
      </c>
      <c r="F1103" s="2" t="s">
        <v>70</v>
      </c>
      <c r="G1103" s="2" t="s">
        <v>78</v>
      </c>
      <c r="H1103" s="2" t="n">
        <v>6.3</v>
      </c>
      <c r="I1103" s="2" t="n">
        <v>7.1</v>
      </c>
      <c r="J1103" s="2"/>
      <c r="K1103" s="2"/>
      <c r="L1103" s="3" t="n">
        <f aca="false">B1103-WEEKDAY(B1103,2)+1</f>
        <v>46321</v>
      </c>
      <c r="M1103" s="4" t="n">
        <f aca="false">IFERROR(INDEX(02_Parâmetros!$B$14:$B$17,MATCH(C1103,02_Parâmetros!$A$14:$A$17,0)),"")</f>
        <v>10</v>
      </c>
      <c r="N1103" s="2" t="str">
        <f aca="false">IF(OR(H1103="",M1103=""),"",IF(H1103&lt;=M1103,"Sim","Não"))</f>
        <v>Sim</v>
      </c>
    </row>
    <row r="1104" customFormat="false" ht="15" hidden="false" customHeight="false" outlineLevel="0" collapsed="false">
      <c r="A1104" s="2" t="s">
        <v>1141</v>
      </c>
      <c r="B1104" s="3" t="n">
        <v>46321</v>
      </c>
      <c r="C1104" s="2" t="s">
        <v>15</v>
      </c>
      <c r="D1104" s="2" t="s">
        <v>16</v>
      </c>
      <c r="E1104" s="2" t="s">
        <v>31</v>
      </c>
      <c r="F1104" s="2" t="s">
        <v>24</v>
      </c>
      <c r="G1104" s="2" t="s">
        <v>19</v>
      </c>
      <c r="H1104" s="2" t="n">
        <v>0.8</v>
      </c>
      <c r="I1104" s="2" t="n">
        <v>10.9</v>
      </c>
      <c r="J1104" s="2" t="s">
        <v>20</v>
      </c>
      <c r="K1104" s="2"/>
      <c r="L1104" s="3" t="n">
        <f aca="false">B1104-WEEKDAY(B1104,2)+1</f>
        <v>46321</v>
      </c>
      <c r="M1104" s="4" t="n">
        <f aca="false">IFERROR(INDEX(02_Parâmetros!$B$14:$B$17,MATCH(C1104,02_Parâmetros!$A$14:$A$17,0)),"")</f>
        <v>1</v>
      </c>
      <c r="N1104" s="2" t="str">
        <f aca="false">IF(OR(H1104="",M1104=""),"",IF(H1104&lt;=M1104,"Sim","Não"))</f>
        <v>Sim</v>
      </c>
    </row>
    <row r="1105" customFormat="false" ht="15" hidden="false" customHeight="false" outlineLevel="0" collapsed="false">
      <c r="A1105" s="2" t="s">
        <v>1142</v>
      </c>
      <c r="B1105" s="3" t="n">
        <v>46321</v>
      </c>
      <c r="C1105" s="2" t="s">
        <v>27</v>
      </c>
      <c r="D1105" s="2" t="s">
        <v>16</v>
      </c>
      <c r="E1105" s="2" t="s">
        <v>31</v>
      </c>
      <c r="F1105" s="2" t="s">
        <v>70</v>
      </c>
      <c r="G1105" s="2" t="s">
        <v>19</v>
      </c>
      <c r="H1105" s="2" t="n">
        <v>3.1</v>
      </c>
      <c r="I1105" s="2" t="n">
        <v>3.7</v>
      </c>
      <c r="J1105" s="2" t="s">
        <v>20</v>
      </c>
      <c r="K1105" s="2" t="n">
        <v>5</v>
      </c>
      <c r="L1105" s="3" t="n">
        <f aca="false">B1105-WEEKDAY(B1105,2)+1</f>
        <v>46321</v>
      </c>
      <c r="M1105" s="4" t="n">
        <f aca="false">IFERROR(INDEX(02_Parâmetros!$B$14:$B$17,MATCH(C1105,02_Parâmetros!$A$14:$A$17,0)),"")</f>
        <v>10</v>
      </c>
      <c r="N1105" s="2" t="str">
        <f aca="false">IF(OR(H1105="",M1105=""),"",IF(H1105&lt;=M1105,"Sim","Não"))</f>
        <v>Sim</v>
      </c>
    </row>
    <row r="1106" customFormat="false" ht="15" hidden="false" customHeight="false" outlineLevel="0" collapsed="false">
      <c r="A1106" s="2" t="s">
        <v>1143</v>
      </c>
      <c r="B1106" s="3" t="n">
        <v>46321</v>
      </c>
      <c r="C1106" s="2" t="s">
        <v>41</v>
      </c>
      <c r="D1106" s="2" t="s">
        <v>16</v>
      </c>
      <c r="E1106" s="2" t="s">
        <v>31</v>
      </c>
      <c r="F1106" s="2" t="s">
        <v>32</v>
      </c>
      <c r="G1106" s="2" t="s">
        <v>78</v>
      </c>
      <c r="H1106" s="2" t="n">
        <v>190.2</v>
      </c>
      <c r="I1106" s="2" t="n">
        <v>8.2</v>
      </c>
      <c r="J1106" s="2"/>
      <c r="K1106" s="2" t="n">
        <v>5</v>
      </c>
      <c r="L1106" s="3" t="n">
        <f aca="false">B1106-WEEKDAY(B1106,2)+1</f>
        <v>46321</v>
      </c>
      <c r="M1106" s="4" t="n">
        <f aca="false">IFERROR(INDEX(02_Parâmetros!$B$14:$B$17,MATCH(C1106,02_Parâmetros!$A$14:$A$17,0)),"")</f>
        <v>240</v>
      </c>
      <c r="N1106" s="2" t="str">
        <f aca="false">IF(OR(H1106="",M1106=""),"",IF(H1106&lt;=M1106,"Sim","Não"))</f>
        <v>Sim</v>
      </c>
    </row>
    <row r="1107" customFormat="false" ht="15" hidden="false" customHeight="false" outlineLevel="0" collapsed="false">
      <c r="A1107" s="2" t="s">
        <v>1144</v>
      </c>
      <c r="B1107" s="3" t="n">
        <v>46321</v>
      </c>
      <c r="C1107" s="2" t="s">
        <v>44</v>
      </c>
      <c r="D1107" s="2" t="s">
        <v>16</v>
      </c>
      <c r="E1107" s="2" t="s">
        <v>36</v>
      </c>
      <c r="F1107" s="2" t="s">
        <v>32</v>
      </c>
      <c r="G1107" s="2" t="s">
        <v>19</v>
      </c>
      <c r="H1107" s="2" t="n">
        <v>0.5</v>
      </c>
      <c r="I1107" s="2" t="n">
        <v>7.2</v>
      </c>
      <c r="J1107" s="2" t="s">
        <v>20</v>
      </c>
      <c r="K1107" s="2"/>
      <c r="L1107" s="3" t="n">
        <f aca="false">B1107-WEEKDAY(B1107,2)+1</f>
        <v>46321</v>
      </c>
      <c r="M1107" s="4" t="n">
        <f aca="false">IFERROR(INDEX(02_Parâmetros!$B$14:$B$17,MATCH(C1107,02_Parâmetros!$A$14:$A$17,0)),"")</f>
        <v>2</v>
      </c>
      <c r="N1107" s="2" t="str">
        <f aca="false">IF(OR(H1107="",M1107=""),"",IF(H1107&lt;=M1107,"Sim","Não"))</f>
        <v>Sim</v>
      </c>
    </row>
    <row r="1108" customFormat="false" ht="15" hidden="false" customHeight="false" outlineLevel="0" collapsed="false">
      <c r="A1108" s="2" t="s">
        <v>1145</v>
      </c>
      <c r="B1108" s="3" t="n">
        <v>46321</v>
      </c>
      <c r="C1108" s="2" t="s">
        <v>27</v>
      </c>
      <c r="D1108" s="2" t="s">
        <v>38</v>
      </c>
      <c r="E1108" s="2" t="s">
        <v>56</v>
      </c>
      <c r="F1108" s="2" t="s">
        <v>18</v>
      </c>
      <c r="G1108" s="2" t="s">
        <v>19</v>
      </c>
      <c r="H1108" s="2" t="n">
        <v>9.4</v>
      </c>
      <c r="I1108" s="2" t="n">
        <v>13.1</v>
      </c>
      <c r="J1108" s="2" t="s">
        <v>25</v>
      </c>
      <c r="K1108" s="2" t="n">
        <v>5</v>
      </c>
      <c r="L1108" s="3" t="n">
        <f aca="false">B1108-WEEKDAY(B1108,2)+1</f>
        <v>46321</v>
      </c>
      <c r="M1108" s="4" t="n">
        <f aca="false">IFERROR(INDEX(02_Parâmetros!$B$14:$B$17,MATCH(C1108,02_Parâmetros!$A$14:$A$17,0)),"")</f>
        <v>10</v>
      </c>
      <c r="N1108" s="2" t="str">
        <f aca="false">IF(OR(H1108="",M1108=""),"",IF(H1108&lt;=M1108,"Sim","Não"))</f>
        <v>Sim</v>
      </c>
    </row>
    <row r="1109" customFormat="false" ht="15" hidden="false" customHeight="false" outlineLevel="0" collapsed="false">
      <c r="A1109" s="2" t="s">
        <v>1146</v>
      </c>
      <c r="B1109" s="3" t="n">
        <v>46321</v>
      </c>
      <c r="C1109" s="2" t="s">
        <v>41</v>
      </c>
      <c r="D1109" s="2" t="s">
        <v>38</v>
      </c>
      <c r="E1109" s="2" t="s">
        <v>56</v>
      </c>
      <c r="F1109" s="2" t="s">
        <v>18</v>
      </c>
      <c r="G1109" s="2" t="s">
        <v>19</v>
      </c>
      <c r="H1109" s="2" t="n">
        <v>229.5</v>
      </c>
      <c r="I1109" s="2" t="n">
        <v>8.1</v>
      </c>
      <c r="J1109" s="2" t="s">
        <v>20</v>
      </c>
      <c r="K1109" s="2"/>
      <c r="L1109" s="3" t="n">
        <f aca="false">B1109-WEEKDAY(B1109,2)+1</f>
        <v>46321</v>
      </c>
      <c r="M1109" s="4" t="n">
        <f aca="false">IFERROR(INDEX(02_Parâmetros!$B$14:$B$17,MATCH(C1109,02_Parâmetros!$A$14:$A$17,0)),"")</f>
        <v>240</v>
      </c>
      <c r="N1109" s="2" t="str">
        <f aca="false">IF(OR(H1109="",M1109=""),"",IF(H1109&lt;=M1109,"Sim","Não"))</f>
        <v>Sim</v>
      </c>
    </row>
    <row r="1110" customFormat="false" ht="15" hidden="false" customHeight="false" outlineLevel="0" collapsed="false">
      <c r="A1110" s="2" t="s">
        <v>1147</v>
      </c>
      <c r="B1110" s="3" t="n">
        <v>46322</v>
      </c>
      <c r="C1110" s="2" t="s">
        <v>15</v>
      </c>
      <c r="D1110" s="2" t="s">
        <v>16</v>
      </c>
      <c r="E1110" s="2" t="s">
        <v>36</v>
      </c>
      <c r="F1110" s="2" t="s">
        <v>32</v>
      </c>
      <c r="G1110" s="2" t="s">
        <v>19</v>
      </c>
      <c r="H1110" s="2" t="n">
        <v>0.6</v>
      </c>
      <c r="I1110" s="2" t="n">
        <v>9.1</v>
      </c>
      <c r="J1110" s="2" t="s">
        <v>20</v>
      </c>
      <c r="K1110" s="2" t="n">
        <v>5</v>
      </c>
      <c r="L1110" s="3" t="n">
        <f aca="false">B1110-WEEKDAY(B1110,2)+1</f>
        <v>46321</v>
      </c>
      <c r="M1110" s="4" t="n">
        <f aca="false">IFERROR(INDEX(02_Parâmetros!$B$14:$B$17,MATCH(C1110,02_Parâmetros!$A$14:$A$17,0)),"")</f>
        <v>1</v>
      </c>
      <c r="N1110" s="2" t="str">
        <f aca="false">IF(OR(H1110="",M1110=""),"",IF(H1110&lt;=M1110,"Sim","Não"))</f>
        <v>Sim</v>
      </c>
    </row>
    <row r="1111" customFormat="false" ht="15" hidden="false" customHeight="false" outlineLevel="0" collapsed="false">
      <c r="A1111" s="2" t="s">
        <v>1148</v>
      </c>
      <c r="B1111" s="3" t="n">
        <v>46322</v>
      </c>
      <c r="C1111" s="2" t="s">
        <v>41</v>
      </c>
      <c r="D1111" s="2" t="s">
        <v>22</v>
      </c>
      <c r="E1111" s="2" t="s">
        <v>28</v>
      </c>
      <c r="F1111" s="2" t="s">
        <v>24</v>
      </c>
      <c r="G1111" s="2" t="s">
        <v>19</v>
      </c>
      <c r="H1111" s="2" t="n">
        <v>166.9</v>
      </c>
      <c r="I1111" s="2" t="n">
        <v>11.6</v>
      </c>
      <c r="J1111" s="2" t="s">
        <v>20</v>
      </c>
      <c r="K1111" s="2" t="n">
        <v>1</v>
      </c>
      <c r="L1111" s="3" t="n">
        <f aca="false">B1111-WEEKDAY(B1111,2)+1</f>
        <v>46321</v>
      </c>
      <c r="M1111" s="4" t="n">
        <f aca="false">IFERROR(INDEX(02_Parâmetros!$B$14:$B$17,MATCH(C1111,02_Parâmetros!$A$14:$A$17,0)),"")</f>
        <v>240</v>
      </c>
      <c r="N1111" s="2" t="str">
        <f aca="false">IF(OR(H1111="",M1111=""),"",IF(H1111&lt;=M1111,"Sim","Não"))</f>
        <v>Sim</v>
      </c>
    </row>
    <row r="1112" customFormat="false" ht="15" hidden="false" customHeight="false" outlineLevel="0" collapsed="false">
      <c r="A1112" s="2" t="s">
        <v>1149</v>
      </c>
      <c r="B1112" s="3" t="n">
        <v>46322</v>
      </c>
      <c r="C1112" s="2" t="s">
        <v>27</v>
      </c>
      <c r="D1112" s="2" t="s">
        <v>16</v>
      </c>
      <c r="E1112" s="2" t="s">
        <v>31</v>
      </c>
      <c r="F1112" s="2" t="s">
        <v>24</v>
      </c>
      <c r="G1112" s="2" t="s">
        <v>19</v>
      </c>
      <c r="H1112" s="2" t="n">
        <v>9.1</v>
      </c>
      <c r="I1112" s="2" t="n">
        <v>6.8</v>
      </c>
      <c r="J1112" s="2" t="s">
        <v>20</v>
      </c>
      <c r="K1112" s="2"/>
      <c r="L1112" s="3" t="n">
        <f aca="false">B1112-WEEKDAY(B1112,2)+1</f>
        <v>46321</v>
      </c>
      <c r="M1112" s="4" t="n">
        <f aca="false">IFERROR(INDEX(02_Parâmetros!$B$14:$B$17,MATCH(C1112,02_Parâmetros!$A$14:$A$17,0)),"")</f>
        <v>10</v>
      </c>
      <c r="N1112" s="2" t="str">
        <f aca="false">IF(OR(H1112="",M1112=""),"",IF(H1112&lt;=M1112,"Sim","Não"))</f>
        <v>Sim</v>
      </c>
    </row>
    <row r="1113" customFormat="false" ht="15" hidden="false" customHeight="false" outlineLevel="0" collapsed="false">
      <c r="A1113" s="2" t="s">
        <v>1150</v>
      </c>
      <c r="B1113" s="3" t="n">
        <v>46322</v>
      </c>
      <c r="C1113" s="2" t="s">
        <v>44</v>
      </c>
      <c r="D1113" s="2" t="s">
        <v>22</v>
      </c>
      <c r="E1113" s="2" t="s">
        <v>28</v>
      </c>
      <c r="F1113" s="2" t="s">
        <v>32</v>
      </c>
      <c r="G1113" s="2" t="s">
        <v>19</v>
      </c>
      <c r="H1113" s="2" t="n">
        <v>0.7</v>
      </c>
      <c r="I1113" s="2" t="n">
        <v>8.8</v>
      </c>
      <c r="J1113" s="2" t="s">
        <v>20</v>
      </c>
      <c r="K1113" s="2" t="n">
        <v>5</v>
      </c>
      <c r="L1113" s="3" t="n">
        <f aca="false">B1113-WEEKDAY(B1113,2)+1</f>
        <v>46321</v>
      </c>
      <c r="M1113" s="4" t="n">
        <f aca="false">IFERROR(INDEX(02_Parâmetros!$B$14:$B$17,MATCH(C1113,02_Parâmetros!$A$14:$A$17,0)),"")</f>
        <v>2</v>
      </c>
      <c r="N1113" s="2" t="str">
        <f aca="false">IF(OR(H1113="",M1113=""),"",IF(H1113&lt;=M1113,"Sim","Não"))</f>
        <v>Sim</v>
      </c>
    </row>
    <row r="1114" customFormat="false" ht="15" hidden="false" customHeight="false" outlineLevel="0" collapsed="false">
      <c r="A1114" s="2" t="s">
        <v>1151</v>
      </c>
      <c r="B1114" s="3" t="n">
        <v>46322</v>
      </c>
      <c r="C1114" s="2" t="s">
        <v>27</v>
      </c>
      <c r="D1114" s="2" t="s">
        <v>16</v>
      </c>
      <c r="E1114" s="2" t="s">
        <v>31</v>
      </c>
      <c r="F1114" s="2" t="s">
        <v>18</v>
      </c>
      <c r="G1114" s="2" t="s">
        <v>19</v>
      </c>
      <c r="H1114" s="2" t="n">
        <v>7.6</v>
      </c>
      <c r="I1114" s="2" t="n">
        <v>8.7</v>
      </c>
      <c r="J1114" s="2" t="s">
        <v>20</v>
      </c>
      <c r="K1114" s="2"/>
      <c r="L1114" s="3" t="n">
        <f aca="false">B1114-WEEKDAY(B1114,2)+1</f>
        <v>46321</v>
      </c>
      <c r="M1114" s="4" t="n">
        <f aca="false">IFERROR(INDEX(02_Parâmetros!$B$14:$B$17,MATCH(C1114,02_Parâmetros!$A$14:$A$17,0)),"")</f>
        <v>10</v>
      </c>
      <c r="N1114" s="2" t="str">
        <f aca="false">IF(OR(H1114="",M1114=""),"",IF(H1114&lt;=M1114,"Sim","Não"))</f>
        <v>Sim</v>
      </c>
    </row>
    <row r="1115" customFormat="false" ht="15" hidden="false" customHeight="false" outlineLevel="0" collapsed="false">
      <c r="A1115" s="2" t="s">
        <v>1152</v>
      </c>
      <c r="B1115" s="3" t="n">
        <v>46322</v>
      </c>
      <c r="C1115" s="2" t="s">
        <v>15</v>
      </c>
      <c r="D1115" s="2" t="s">
        <v>38</v>
      </c>
      <c r="E1115" s="2" t="s">
        <v>56</v>
      </c>
      <c r="F1115" s="2" t="s">
        <v>32</v>
      </c>
      <c r="G1115" s="2" t="s">
        <v>19</v>
      </c>
      <c r="H1115" s="2" t="n">
        <v>0.8</v>
      </c>
      <c r="I1115" s="2" t="n">
        <v>10.6</v>
      </c>
      <c r="J1115" s="2" t="s">
        <v>20</v>
      </c>
      <c r="K1115" s="2" t="n">
        <v>4</v>
      </c>
      <c r="L1115" s="3" t="n">
        <f aca="false">B1115-WEEKDAY(B1115,2)+1</f>
        <v>46321</v>
      </c>
      <c r="M1115" s="4" t="n">
        <f aca="false">IFERROR(INDEX(02_Parâmetros!$B$14:$B$17,MATCH(C1115,02_Parâmetros!$A$14:$A$17,0)),"")</f>
        <v>1</v>
      </c>
      <c r="N1115" s="2" t="str">
        <f aca="false">IF(OR(H1115="",M1115=""),"",IF(H1115&lt;=M1115,"Sim","Não"))</f>
        <v>Sim</v>
      </c>
    </row>
    <row r="1116" customFormat="false" ht="15" hidden="false" customHeight="false" outlineLevel="0" collapsed="false">
      <c r="A1116" s="2" t="s">
        <v>1153</v>
      </c>
      <c r="B1116" s="3" t="n">
        <v>46322</v>
      </c>
      <c r="C1116" s="2" t="s">
        <v>27</v>
      </c>
      <c r="D1116" s="2" t="s">
        <v>38</v>
      </c>
      <c r="E1116" s="2" t="s">
        <v>56</v>
      </c>
      <c r="F1116" s="2" t="s">
        <v>32</v>
      </c>
      <c r="G1116" s="2" t="s">
        <v>19</v>
      </c>
      <c r="H1116" s="2" t="n">
        <v>6.6</v>
      </c>
      <c r="I1116" s="2" t="n">
        <v>4.5</v>
      </c>
      <c r="J1116" s="2" t="s">
        <v>20</v>
      </c>
      <c r="K1116" s="2"/>
      <c r="L1116" s="3" t="n">
        <f aca="false">B1116-WEEKDAY(B1116,2)+1</f>
        <v>46321</v>
      </c>
      <c r="M1116" s="4" t="n">
        <f aca="false">IFERROR(INDEX(02_Parâmetros!$B$14:$B$17,MATCH(C1116,02_Parâmetros!$A$14:$A$17,0)),"")</f>
        <v>10</v>
      </c>
      <c r="N1116" s="2" t="str">
        <f aca="false">IF(OR(H1116="",M1116=""),"",IF(H1116&lt;=M1116,"Sim","Não"))</f>
        <v>Sim</v>
      </c>
    </row>
    <row r="1117" customFormat="false" ht="15" hidden="false" customHeight="false" outlineLevel="0" collapsed="false">
      <c r="A1117" s="2" t="s">
        <v>1154</v>
      </c>
      <c r="B1117" s="3" t="n">
        <v>46322</v>
      </c>
      <c r="C1117" s="2" t="s">
        <v>44</v>
      </c>
      <c r="D1117" s="2" t="s">
        <v>38</v>
      </c>
      <c r="E1117" s="2" t="s">
        <v>39</v>
      </c>
      <c r="F1117" s="2" t="s">
        <v>34</v>
      </c>
      <c r="G1117" s="2" t="s">
        <v>19</v>
      </c>
      <c r="H1117" s="2" t="n">
        <v>0.5</v>
      </c>
      <c r="I1117" s="2" t="n">
        <v>7.9</v>
      </c>
      <c r="J1117" s="2" t="s">
        <v>20</v>
      </c>
      <c r="K1117" s="2" t="n">
        <v>5</v>
      </c>
      <c r="L1117" s="3" t="n">
        <f aca="false">B1117-WEEKDAY(B1117,2)+1</f>
        <v>46321</v>
      </c>
      <c r="M1117" s="4" t="n">
        <f aca="false">IFERROR(INDEX(02_Parâmetros!$B$14:$B$17,MATCH(C1117,02_Parâmetros!$A$14:$A$17,0)),"")</f>
        <v>2</v>
      </c>
      <c r="N1117" s="2" t="str">
        <f aca="false">IF(OR(H1117="",M1117=""),"",IF(H1117&lt;=M1117,"Sim","Não"))</f>
        <v>Sim</v>
      </c>
    </row>
    <row r="1118" customFormat="false" ht="15" hidden="false" customHeight="false" outlineLevel="0" collapsed="false">
      <c r="A1118" s="2" t="s">
        <v>1155</v>
      </c>
      <c r="B1118" s="3" t="n">
        <v>46322</v>
      </c>
      <c r="C1118" s="2" t="s">
        <v>15</v>
      </c>
      <c r="D1118" s="2" t="s">
        <v>22</v>
      </c>
      <c r="E1118" s="2" t="s">
        <v>28</v>
      </c>
      <c r="F1118" s="2" t="s">
        <v>24</v>
      </c>
      <c r="G1118" s="2" t="s">
        <v>78</v>
      </c>
      <c r="H1118" s="2" t="n">
        <v>0.7</v>
      </c>
      <c r="I1118" s="2" t="n">
        <v>20.8</v>
      </c>
      <c r="J1118" s="2"/>
      <c r="K1118" s="2" t="n">
        <v>5</v>
      </c>
      <c r="L1118" s="3" t="n">
        <f aca="false">B1118-WEEKDAY(B1118,2)+1</f>
        <v>46321</v>
      </c>
      <c r="M1118" s="4" t="n">
        <f aca="false">IFERROR(INDEX(02_Parâmetros!$B$14:$B$17,MATCH(C1118,02_Parâmetros!$A$14:$A$17,0)),"")</f>
        <v>1</v>
      </c>
      <c r="N1118" s="2" t="str">
        <f aca="false">IF(OR(H1118="",M1118=""),"",IF(H1118&lt;=M1118,"Sim","Não"))</f>
        <v>Sim</v>
      </c>
    </row>
    <row r="1119" customFormat="false" ht="15" hidden="false" customHeight="false" outlineLevel="0" collapsed="false">
      <c r="A1119" s="2" t="s">
        <v>1156</v>
      </c>
      <c r="B1119" s="3" t="n">
        <v>46322</v>
      </c>
      <c r="C1119" s="2" t="s">
        <v>44</v>
      </c>
      <c r="D1119" s="2" t="s">
        <v>16</v>
      </c>
      <c r="E1119" s="2" t="s">
        <v>31</v>
      </c>
      <c r="F1119" s="2" t="s">
        <v>32</v>
      </c>
      <c r="G1119" s="2" t="s">
        <v>19</v>
      </c>
      <c r="H1119" s="2" t="n">
        <v>1.5</v>
      </c>
      <c r="I1119" s="2" t="n">
        <v>8.4</v>
      </c>
      <c r="J1119" s="2" t="s">
        <v>20</v>
      </c>
      <c r="K1119" s="2"/>
      <c r="L1119" s="3" t="n">
        <f aca="false">B1119-WEEKDAY(B1119,2)+1</f>
        <v>46321</v>
      </c>
      <c r="M1119" s="4" t="n">
        <f aca="false">IFERROR(INDEX(02_Parâmetros!$B$14:$B$17,MATCH(C1119,02_Parâmetros!$A$14:$A$17,0)),"")</f>
        <v>2</v>
      </c>
      <c r="N1119" s="2" t="str">
        <f aca="false">IF(OR(H1119="",M1119=""),"",IF(H1119&lt;=M1119,"Sim","Não"))</f>
        <v>Sim</v>
      </c>
    </row>
    <row r="1120" customFormat="false" ht="15" hidden="false" customHeight="false" outlineLevel="0" collapsed="false">
      <c r="A1120" s="2" t="s">
        <v>1157</v>
      </c>
      <c r="B1120" s="3" t="n">
        <v>46322</v>
      </c>
      <c r="C1120" s="2" t="s">
        <v>44</v>
      </c>
      <c r="D1120" s="2" t="s">
        <v>16</v>
      </c>
      <c r="E1120" s="2" t="s">
        <v>31</v>
      </c>
      <c r="F1120" s="2" t="s">
        <v>24</v>
      </c>
      <c r="G1120" s="2" t="s">
        <v>19</v>
      </c>
      <c r="H1120" s="2" t="n">
        <v>0.8</v>
      </c>
      <c r="I1120" s="2" t="n">
        <v>16</v>
      </c>
      <c r="J1120" s="2" t="s">
        <v>25</v>
      </c>
      <c r="K1120" s="2" t="n">
        <v>4</v>
      </c>
      <c r="L1120" s="3" t="n">
        <f aca="false">B1120-WEEKDAY(B1120,2)+1</f>
        <v>46321</v>
      </c>
      <c r="M1120" s="4" t="n">
        <f aca="false">IFERROR(INDEX(02_Parâmetros!$B$14:$B$17,MATCH(C1120,02_Parâmetros!$A$14:$A$17,0)),"")</f>
        <v>2</v>
      </c>
      <c r="N1120" s="2" t="str">
        <f aca="false">IF(OR(H1120="",M1120=""),"",IF(H1120&lt;=M1120,"Sim","Não"))</f>
        <v>Sim</v>
      </c>
    </row>
    <row r="1121" customFormat="false" ht="15" hidden="false" customHeight="false" outlineLevel="0" collapsed="false">
      <c r="A1121" s="2" t="s">
        <v>1158</v>
      </c>
      <c r="B1121" s="3" t="n">
        <v>46322</v>
      </c>
      <c r="C1121" s="2" t="s">
        <v>41</v>
      </c>
      <c r="D1121" s="2" t="s">
        <v>22</v>
      </c>
      <c r="E1121" s="2" t="s">
        <v>23</v>
      </c>
      <c r="F1121" s="2" t="s">
        <v>32</v>
      </c>
      <c r="G1121" s="2" t="s">
        <v>19</v>
      </c>
      <c r="H1121" s="2" t="n">
        <v>128.5</v>
      </c>
      <c r="I1121" s="2" t="n">
        <v>10.2</v>
      </c>
      <c r="J1121" s="2" t="s">
        <v>25</v>
      </c>
      <c r="K1121" s="2"/>
      <c r="L1121" s="3" t="n">
        <f aca="false">B1121-WEEKDAY(B1121,2)+1</f>
        <v>46321</v>
      </c>
      <c r="M1121" s="4" t="n">
        <f aca="false">IFERROR(INDEX(02_Parâmetros!$B$14:$B$17,MATCH(C1121,02_Parâmetros!$A$14:$A$17,0)),"")</f>
        <v>240</v>
      </c>
      <c r="N1121" s="2" t="str">
        <f aca="false">IF(OR(H1121="",M1121=""),"",IF(H1121&lt;=M1121,"Sim","Não"))</f>
        <v>Sim</v>
      </c>
    </row>
    <row r="1122" customFormat="false" ht="15" hidden="false" customHeight="false" outlineLevel="0" collapsed="false">
      <c r="A1122" s="2" t="s">
        <v>1159</v>
      </c>
      <c r="B1122" s="3" t="n">
        <v>46322</v>
      </c>
      <c r="C1122" s="2" t="s">
        <v>44</v>
      </c>
      <c r="D1122" s="2" t="s">
        <v>38</v>
      </c>
      <c r="E1122" s="2" t="s">
        <v>39</v>
      </c>
      <c r="F1122" s="2" t="s">
        <v>18</v>
      </c>
      <c r="G1122" s="2" t="s">
        <v>19</v>
      </c>
      <c r="H1122" s="2" t="n">
        <v>1.2</v>
      </c>
      <c r="I1122" s="2" t="n">
        <v>9.8</v>
      </c>
      <c r="J1122" s="2" t="s">
        <v>25</v>
      </c>
      <c r="K1122" s="2"/>
      <c r="L1122" s="3" t="n">
        <f aca="false">B1122-WEEKDAY(B1122,2)+1</f>
        <v>46321</v>
      </c>
      <c r="M1122" s="4" t="n">
        <f aca="false">IFERROR(INDEX(02_Parâmetros!$B$14:$B$17,MATCH(C1122,02_Parâmetros!$A$14:$A$17,0)),"")</f>
        <v>2</v>
      </c>
      <c r="N1122" s="2" t="str">
        <f aca="false">IF(OR(H1122="",M1122=""),"",IF(H1122&lt;=M1122,"Sim","Não"))</f>
        <v>Sim</v>
      </c>
    </row>
    <row r="1123" customFormat="false" ht="15" hidden="false" customHeight="false" outlineLevel="0" collapsed="false">
      <c r="A1123" s="2" t="s">
        <v>1160</v>
      </c>
      <c r="B1123" s="3" t="n">
        <v>46322</v>
      </c>
      <c r="C1123" s="2" t="s">
        <v>27</v>
      </c>
      <c r="D1123" s="2" t="s">
        <v>38</v>
      </c>
      <c r="E1123" s="2" t="s">
        <v>56</v>
      </c>
      <c r="F1123" s="2" t="s">
        <v>34</v>
      </c>
      <c r="G1123" s="2" t="s">
        <v>78</v>
      </c>
      <c r="H1123" s="2" t="n">
        <v>7.9</v>
      </c>
      <c r="I1123" s="2" t="n">
        <v>6.4</v>
      </c>
      <c r="J1123" s="2"/>
      <c r="K1123" s="2" t="n">
        <v>5</v>
      </c>
      <c r="L1123" s="3" t="n">
        <f aca="false">B1123-WEEKDAY(B1123,2)+1</f>
        <v>46321</v>
      </c>
      <c r="M1123" s="4" t="n">
        <f aca="false">IFERROR(INDEX(02_Parâmetros!$B$14:$B$17,MATCH(C1123,02_Parâmetros!$A$14:$A$17,0)),"")</f>
        <v>10</v>
      </c>
      <c r="N1123" s="2" t="str">
        <f aca="false">IF(OR(H1123="",M1123=""),"",IF(H1123&lt;=M1123,"Sim","Não"))</f>
        <v>Sim</v>
      </c>
    </row>
    <row r="1124" customFormat="false" ht="15" hidden="false" customHeight="false" outlineLevel="0" collapsed="false">
      <c r="A1124" s="2" t="s">
        <v>1161</v>
      </c>
      <c r="B1124" s="3" t="n">
        <v>46322</v>
      </c>
      <c r="C1124" s="2" t="s">
        <v>27</v>
      </c>
      <c r="D1124" s="2" t="s">
        <v>16</v>
      </c>
      <c r="E1124" s="2" t="s">
        <v>36</v>
      </c>
      <c r="F1124" s="2" t="s">
        <v>24</v>
      </c>
      <c r="G1124" s="2" t="s">
        <v>19</v>
      </c>
      <c r="H1124" s="2" t="n">
        <v>8</v>
      </c>
      <c r="I1124" s="2" t="n">
        <v>10.5</v>
      </c>
      <c r="J1124" s="2" t="s">
        <v>20</v>
      </c>
      <c r="K1124" s="2"/>
      <c r="L1124" s="3" t="n">
        <f aca="false">B1124-WEEKDAY(B1124,2)+1</f>
        <v>46321</v>
      </c>
      <c r="M1124" s="4" t="n">
        <f aca="false">IFERROR(INDEX(02_Parâmetros!$B$14:$B$17,MATCH(C1124,02_Parâmetros!$A$14:$A$17,0)),"")</f>
        <v>10</v>
      </c>
      <c r="N1124" s="2" t="str">
        <f aca="false">IF(OR(H1124="",M1124=""),"",IF(H1124&lt;=M1124,"Sim","Não"))</f>
        <v>Sim</v>
      </c>
    </row>
    <row r="1125" customFormat="false" ht="15" hidden="false" customHeight="false" outlineLevel="0" collapsed="false">
      <c r="A1125" s="2" t="s">
        <v>1162</v>
      </c>
      <c r="B1125" s="3" t="n">
        <v>46322</v>
      </c>
      <c r="C1125" s="2" t="s">
        <v>27</v>
      </c>
      <c r="D1125" s="2" t="s">
        <v>38</v>
      </c>
      <c r="E1125" s="2" t="s">
        <v>47</v>
      </c>
      <c r="F1125" s="2" t="s">
        <v>70</v>
      </c>
      <c r="G1125" s="2" t="s">
        <v>19</v>
      </c>
      <c r="H1125" s="2" t="n">
        <v>7.3</v>
      </c>
      <c r="I1125" s="2" t="n">
        <v>7.2</v>
      </c>
      <c r="J1125" s="2" t="s">
        <v>20</v>
      </c>
      <c r="K1125" s="2"/>
      <c r="L1125" s="3" t="n">
        <f aca="false">B1125-WEEKDAY(B1125,2)+1</f>
        <v>46321</v>
      </c>
      <c r="M1125" s="4" t="n">
        <f aca="false">IFERROR(INDEX(02_Parâmetros!$B$14:$B$17,MATCH(C1125,02_Parâmetros!$A$14:$A$17,0)),"")</f>
        <v>10</v>
      </c>
      <c r="N1125" s="2" t="str">
        <f aca="false">IF(OR(H1125="",M1125=""),"",IF(H1125&lt;=M1125,"Sim","Não"))</f>
        <v>Sim</v>
      </c>
    </row>
    <row r="1126" customFormat="false" ht="15" hidden="false" customHeight="false" outlineLevel="0" collapsed="false">
      <c r="A1126" s="2" t="s">
        <v>1163</v>
      </c>
      <c r="B1126" s="3" t="n">
        <v>46322</v>
      </c>
      <c r="C1126" s="2" t="s">
        <v>15</v>
      </c>
      <c r="D1126" s="2" t="s">
        <v>38</v>
      </c>
      <c r="E1126" s="2" t="s">
        <v>56</v>
      </c>
      <c r="F1126" s="2" t="s">
        <v>18</v>
      </c>
      <c r="G1126" s="2" t="s">
        <v>19</v>
      </c>
      <c r="H1126" s="2" t="n">
        <v>0.9</v>
      </c>
      <c r="I1126" s="2" t="n">
        <v>11.7</v>
      </c>
      <c r="J1126" s="2" t="s">
        <v>25</v>
      </c>
      <c r="K1126" s="2" t="n">
        <v>5</v>
      </c>
      <c r="L1126" s="3" t="n">
        <f aca="false">B1126-WEEKDAY(B1126,2)+1</f>
        <v>46321</v>
      </c>
      <c r="M1126" s="4" t="n">
        <f aca="false">IFERROR(INDEX(02_Parâmetros!$B$14:$B$17,MATCH(C1126,02_Parâmetros!$A$14:$A$17,0)),"")</f>
        <v>1</v>
      </c>
      <c r="N1126" s="2" t="str">
        <f aca="false">IF(OR(H1126="",M1126=""),"",IF(H1126&lt;=M1126,"Sim","Não"))</f>
        <v>Sim</v>
      </c>
    </row>
    <row r="1127" customFormat="false" ht="15" hidden="false" customHeight="false" outlineLevel="0" collapsed="false">
      <c r="A1127" s="2" t="s">
        <v>1164</v>
      </c>
      <c r="B1127" s="3" t="n">
        <v>46322</v>
      </c>
      <c r="C1127" s="2" t="s">
        <v>44</v>
      </c>
      <c r="D1127" s="2" t="s">
        <v>16</v>
      </c>
      <c r="E1127" s="2" t="s">
        <v>31</v>
      </c>
      <c r="F1127" s="2" t="s">
        <v>24</v>
      </c>
      <c r="G1127" s="2" t="s">
        <v>78</v>
      </c>
      <c r="H1127" s="2" t="n">
        <v>1.1</v>
      </c>
      <c r="I1127" s="2" t="n">
        <v>13.2</v>
      </c>
      <c r="J1127" s="2"/>
      <c r="K1127" s="2" t="n">
        <v>5</v>
      </c>
      <c r="L1127" s="3" t="n">
        <f aca="false">B1127-WEEKDAY(B1127,2)+1</f>
        <v>46321</v>
      </c>
      <c r="M1127" s="4" t="n">
        <f aca="false">IFERROR(INDEX(02_Parâmetros!$B$14:$B$17,MATCH(C1127,02_Parâmetros!$A$14:$A$17,0)),"")</f>
        <v>2</v>
      </c>
      <c r="N1127" s="2" t="str">
        <f aca="false">IF(OR(H1127="",M1127=""),"",IF(H1127&lt;=M1127,"Sim","Não"))</f>
        <v>Sim</v>
      </c>
    </row>
    <row r="1128" customFormat="false" ht="15" hidden="false" customHeight="false" outlineLevel="0" collapsed="false">
      <c r="A1128" s="2" t="s">
        <v>1165</v>
      </c>
      <c r="B1128" s="3" t="n">
        <v>46322</v>
      </c>
      <c r="C1128" s="2" t="s">
        <v>44</v>
      </c>
      <c r="D1128" s="2" t="s">
        <v>22</v>
      </c>
      <c r="E1128" s="2" t="s">
        <v>28</v>
      </c>
      <c r="F1128" s="2" t="s">
        <v>42</v>
      </c>
      <c r="G1128" s="2" t="s">
        <v>19</v>
      </c>
      <c r="H1128" s="2" t="n">
        <v>1.2</v>
      </c>
      <c r="I1128" s="2" t="n">
        <v>9.4</v>
      </c>
      <c r="J1128" s="2" t="s">
        <v>20</v>
      </c>
      <c r="K1128" s="2" t="n">
        <v>5</v>
      </c>
      <c r="L1128" s="3" t="n">
        <f aca="false">B1128-WEEKDAY(B1128,2)+1</f>
        <v>46321</v>
      </c>
      <c r="M1128" s="4" t="n">
        <f aca="false">IFERROR(INDEX(02_Parâmetros!$B$14:$B$17,MATCH(C1128,02_Parâmetros!$A$14:$A$17,0)),"")</f>
        <v>2</v>
      </c>
      <c r="N1128" s="2" t="str">
        <f aca="false">IF(OR(H1128="",M1128=""),"",IF(H1128&lt;=M1128,"Sim","Não"))</f>
        <v>Sim</v>
      </c>
    </row>
    <row r="1129" customFormat="false" ht="15" hidden="false" customHeight="false" outlineLevel="0" collapsed="false">
      <c r="A1129" s="2" t="s">
        <v>1166</v>
      </c>
      <c r="B1129" s="3" t="n">
        <v>46322</v>
      </c>
      <c r="C1129" s="2" t="s">
        <v>44</v>
      </c>
      <c r="D1129" s="2" t="s">
        <v>16</v>
      </c>
      <c r="E1129" s="2" t="s">
        <v>17</v>
      </c>
      <c r="F1129" s="2" t="s">
        <v>24</v>
      </c>
      <c r="G1129" s="2" t="s">
        <v>19</v>
      </c>
      <c r="H1129" s="2" t="n">
        <v>0.6</v>
      </c>
      <c r="I1129" s="2" t="n">
        <v>11</v>
      </c>
      <c r="J1129" s="2" t="s">
        <v>20</v>
      </c>
      <c r="K1129" s="2" t="n">
        <v>5</v>
      </c>
      <c r="L1129" s="3" t="n">
        <f aca="false">B1129-WEEKDAY(B1129,2)+1</f>
        <v>46321</v>
      </c>
      <c r="M1129" s="4" t="n">
        <f aca="false">IFERROR(INDEX(02_Parâmetros!$B$14:$B$17,MATCH(C1129,02_Parâmetros!$A$14:$A$17,0)),"")</f>
        <v>2</v>
      </c>
      <c r="N1129" s="2" t="str">
        <f aca="false">IF(OR(H1129="",M1129=""),"",IF(H1129&lt;=M1129,"Sim","Não"))</f>
        <v>Sim</v>
      </c>
    </row>
    <row r="1130" customFormat="false" ht="15" hidden="false" customHeight="false" outlineLevel="0" collapsed="false">
      <c r="A1130" s="2" t="s">
        <v>1167</v>
      </c>
      <c r="B1130" s="3" t="n">
        <v>46322</v>
      </c>
      <c r="C1130" s="2" t="s">
        <v>15</v>
      </c>
      <c r="D1130" s="2" t="s">
        <v>16</v>
      </c>
      <c r="E1130" s="2" t="s">
        <v>36</v>
      </c>
      <c r="F1130" s="2" t="s">
        <v>32</v>
      </c>
      <c r="G1130" s="2" t="s">
        <v>19</v>
      </c>
      <c r="H1130" s="2" t="n">
        <v>0.4</v>
      </c>
      <c r="I1130" s="2" t="n">
        <v>9.1</v>
      </c>
      <c r="J1130" s="2" t="s">
        <v>20</v>
      </c>
      <c r="K1130" s="2"/>
      <c r="L1130" s="3" t="n">
        <f aca="false">B1130-WEEKDAY(B1130,2)+1</f>
        <v>46321</v>
      </c>
      <c r="M1130" s="4" t="n">
        <f aca="false">IFERROR(INDEX(02_Parâmetros!$B$14:$B$17,MATCH(C1130,02_Parâmetros!$A$14:$A$17,0)),"")</f>
        <v>1</v>
      </c>
      <c r="N1130" s="2" t="str">
        <f aca="false">IF(OR(H1130="",M1130=""),"",IF(H1130&lt;=M1130,"Sim","Não"))</f>
        <v>Sim</v>
      </c>
    </row>
    <row r="1131" customFormat="false" ht="15" hidden="false" customHeight="false" outlineLevel="0" collapsed="false">
      <c r="A1131" s="2" t="s">
        <v>1168</v>
      </c>
      <c r="B1131" s="3" t="n">
        <v>46322</v>
      </c>
      <c r="C1131" s="2" t="s">
        <v>44</v>
      </c>
      <c r="D1131" s="2" t="s">
        <v>16</v>
      </c>
      <c r="E1131" s="2" t="s">
        <v>36</v>
      </c>
      <c r="F1131" s="2" t="s">
        <v>18</v>
      </c>
      <c r="G1131" s="2" t="s">
        <v>19</v>
      </c>
      <c r="H1131" s="2" t="n">
        <v>1.9</v>
      </c>
      <c r="I1131" s="2" t="n">
        <v>11.5</v>
      </c>
      <c r="J1131" s="2" t="s">
        <v>25</v>
      </c>
      <c r="K1131" s="2"/>
      <c r="L1131" s="3" t="n">
        <f aca="false">B1131-WEEKDAY(B1131,2)+1</f>
        <v>46321</v>
      </c>
      <c r="M1131" s="4" t="n">
        <f aca="false">IFERROR(INDEX(02_Parâmetros!$B$14:$B$17,MATCH(C1131,02_Parâmetros!$A$14:$A$17,0)),"")</f>
        <v>2</v>
      </c>
      <c r="N1131" s="2" t="str">
        <f aca="false">IF(OR(H1131="",M1131=""),"",IF(H1131&lt;=M1131,"Sim","Não"))</f>
        <v>Sim</v>
      </c>
    </row>
    <row r="1132" customFormat="false" ht="15" hidden="false" customHeight="false" outlineLevel="0" collapsed="false">
      <c r="A1132" s="2" t="s">
        <v>1169</v>
      </c>
      <c r="B1132" s="3" t="n">
        <v>46322</v>
      </c>
      <c r="C1132" s="2" t="s">
        <v>15</v>
      </c>
      <c r="D1132" s="2" t="s">
        <v>16</v>
      </c>
      <c r="E1132" s="2" t="s">
        <v>36</v>
      </c>
      <c r="F1132" s="2" t="s">
        <v>24</v>
      </c>
      <c r="G1132" s="2" t="s">
        <v>19</v>
      </c>
      <c r="H1132" s="2" t="n">
        <v>0.4</v>
      </c>
      <c r="I1132" s="2" t="n">
        <v>14.8</v>
      </c>
      <c r="J1132" s="2" t="s">
        <v>20</v>
      </c>
      <c r="K1132" s="2"/>
      <c r="L1132" s="3" t="n">
        <f aca="false">B1132-WEEKDAY(B1132,2)+1</f>
        <v>46321</v>
      </c>
      <c r="M1132" s="4" t="n">
        <f aca="false">IFERROR(INDEX(02_Parâmetros!$B$14:$B$17,MATCH(C1132,02_Parâmetros!$A$14:$A$17,0)),"")</f>
        <v>1</v>
      </c>
      <c r="N1132" s="2" t="str">
        <f aca="false">IF(OR(H1132="",M1132=""),"",IF(H1132&lt;=M1132,"Sim","Não"))</f>
        <v>Sim</v>
      </c>
    </row>
    <row r="1133" customFormat="false" ht="15" hidden="false" customHeight="false" outlineLevel="0" collapsed="false">
      <c r="A1133" s="2" t="s">
        <v>1170</v>
      </c>
      <c r="B1133" s="3" t="n">
        <v>46322</v>
      </c>
      <c r="C1133" s="2" t="s">
        <v>44</v>
      </c>
      <c r="D1133" s="2" t="s">
        <v>38</v>
      </c>
      <c r="E1133" s="2" t="s">
        <v>56</v>
      </c>
      <c r="F1133" s="2" t="s">
        <v>42</v>
      </c>
      <c r="G1133" s="2" t="s">
        <v>19</v>
      </c>
      <c r="H1133" s="2" t="n">
        <v>0.6</v>
      </c>
      <c r="I1133" s="2" t="n">
        <v>5.3</v>
      </c>
      <c r="J1133" s="2" t="s">
        <v>20</v>
      </c>
      <c r="K1133" s="2" t="n">
        <v>4</v>
      </c>
      <c r="L1133" s="3" t="n">
        <f aca="false">B1133-WEEKDAY(B1133,2)+1</f>
        <v>46321</v>
      </c>
      <c r="M1133" s="4" t="n">
        <f aca="false">IFERROR(INDEX(02_Parâmetros!$B$14:$B$17,MATCH(C1133,02_Parâmetros!$A$14:$A$17,0)),"")</f>
        <v>2</v>
      </c>
      <c r="N1133" s="2" t="str">
        <f aca="false">IF(OR(H1133="",M1133=""),"",IF(H1133&lt;=M1133,"Sim","Não"))</f>
        <v>Sim</v>
      </c>
    </row>
    <row r="1134" customFormat="false" ht="15" hidden="false" customHeight="false" outlineLevel="0" collapsed="false">
      <c r="A1134" s="2" t="s">
        <v>1171</v>
      </c>
      <c r="B1134" s="3" t="n">
        <v>46323</v>
      </c>
      <c r="C1134" s="2" t="s">
        <v>27</v>
      </c>
      <c r="D1134" s="2" t="s">
        <v>38</v>
      </c>
      <c r="E1134" s="2" t="s">
        <v>47</v>
      </c>
      <c r="F1134" s="2" t="s">
        <v>32</v>
      </c>
      <c r="G1134" s="2" t="s">
        <v>19</v>
      </c>
      <c r="H1134" s="2" t="n">
        <v>12.9</v>
      </c>
      <c r="I1134" s="2" t="n">
        <v>7.5</v>
      </c>
      <c r="J1134" s="2" t="s">
        <v>20</v>
      </c>
      <c r="K1134" s="2" t="n">
        <v>3</v>
      </c>
      <c r="L1134" s="3" t="n">
        <f aca="false">B1134-WEEKDAY(B1134,2)+1</f>
        <v>46321</v>
      </c>
      <c r="M1134" s="4" t="n">
        <f aca="false">IFERROR(INDEX(02_Parâmetros!$B$14:$B$17,MATCH(C1134,02_Parâmetros!$A$14:$A$17,0)),"")</f>
        <v>10</v>
      </c>
      <c r="N1134" s="2" t="str">
        <f aca="false">IF(OR(H1134="",M1134=""),"",IF(H1134&lt;=M1134,"Sim","Não"))</f>
        <v>Não</v>
      </c>
    </row>
    <row r="1135" customFormat="false" ht="15" hidden="false" customHeight="false" outlineLevel="0" collapsed="false">
      <c r="A1135" s="2" t="s">
        <v>1172</v>
      </c>
      <c r="B1135" s="3" t="n">
        <v>46323</v>
      </c>
      <c r="C1135" s="2" t="s">
        <v>27</v>
      </c>
      <c r="D1135" s="2" t="s">
        <v>38</v>
      </c>
      <c r="E1135" s="2" t="s">
        <v>39</v>
      </c>
      <c r="F1135" s="2" t="s">
        <v>18</v>
      </c>
      <c r="G1135" s="2" t="s">
        <v>19</v>
      </c>
      <c r="H1135" s="2" t="n">
        <v>7.1</v>
      </c>
      <c r="I1135" s="2" t="n">
        <v>11.6</v>
      </c>
      <c r="J1135" s="2" t="s">
        <v>20</v>
      </c>
      <c r="K1135" s="2" t="n">
        <v>3</v>
      </c>
      <c r="L1135" s="3" t="n">
        <f aca="false">B1135-WEEKDAY(B1135,2)+1</f>
        <v>46321</v>
      </c>
      <c r="M1135" s="4" t="n">
        <f aca="false">IFERROR(INDEX(02_Parâmetros!$B$14:$B$17,MATCH(C1135,02_Parâmetros!$A$14:$A$17,0)),"")</f>
        <v>10</v>
      </c>
      <c r="N1135" s="2" t="str">
        <f aca="false">IF(OR(H1135="",M1135=""),"",IF(H1135&lt;=M1135,"Sim","Não"))</f>
        <v>Sim</v>
      </c>
    </row>
    <row r="1136" customFormat="false" ht="15" hidden="false" customHeight="false" outlineLevel="0" collapsed="false">
      <c r="A1136" s="2" t="s">
        <v>1173</v>
      </c>
      <c r="B1136" s="3" t="n">
        <v>46323</v>
      </c>
      <c r="C1136" s="2" t="s">
        <v>15</v>
      </c>
      <c r="D1136" s="2" t="s">
        <v>16</v>
      </c>
      <c r="E1136" s="2" t="s">
        <v>36</v>
      </c>
      <c r="F1136" s="2" t="s">
        <v>32</v>
      </c>
      <c r="G1136" s="2" t="s">
        <v>19</v>
      </c>
      <c r="H1136" s="2" t="n">
        <v>0.6</v>
      </c>
      <c r="I1136" s="2" t="n">
        <v>13</v>
      </c>
      <c r="J1136" s="2" t="s">
        <v>20</v>
      </c>
      <c r="K1136" s="2"/>
      <c r="L1136" s="3" t="n">
        <f aca="false">B1136-WEEKDAY(B1136,2)+1</f>
        <v>46321</v>
      </c>
      <c r="M1136" s="4" t="n">
        <f aca="false">IFERROR(INDEX(02_Parâmetros!$B$14:$B$17,MATCH(C1136,02_Parâmetros!$A$14:$A$17,0)),"")</f>
        <v>1</v>
      </c>
      <c r="N1136" s="2" t="str">
        <f aca="false">IF(OR(H1136="",M1136=""),"",IF(H1136&lt;=M1136,"Sim","Não"))</f>
        <v>Sim</v>
      </c>
    </row>
    <row r="1137" customFormat="false" ht="15" hidden="false" customHeight="false" outlineLevel="0" collapsed="false">
      <c r="A1137" s="2" t="s">
        <v>1174</v>
      </c>
      <c r="B1137" s="3" t="n">
        <v>46323</v>
      </c>
      <c r="C1137" s="2" t="s">
        <v>27</v>
      </c>
      <c r="D1137" s="2" t="s">
        <v>22</v>
      </c>
      <c r="E1137" s="2" t="s">
        <v>28</v>
      </c>
      <c r="F1137" s="2" t="s">
        <v>42</v>
      </c>
      <c r="G1137" s="2" t="s">
        <v>78</v>
      </c>
      <c r="H1137" s="2" t="n">
        <v>7.2</v>
      </c>
      <c r="I1137" s="2" t="n">
        <v>9.7</v>
      </c>
      <c r="J1137" s="2"/>
      <c r="K1137" s="2"/>
      <c r="L1137" s="3" t="n">
        <f aca="false">B1137-WEEKDAY(B1137,2)+1</f>
        <v>46321</v>
      </c>
      <c r="M1137" s="4" t="n">
        <f aca="false">IFERROR(INDEX(02_Parâmetros!$B$14:$B$17,MATCH(C1137,02_Parâmetros!$A$14:$A$17,0)),"")</f>
        <v>10</v>
      </c>
      <c r="N1137" s="2" t="str">
        <f aca="false">IF(OR(H1137="",M1137=""),"",IF(H1137&lt;=M1137,"Sim","Não"))</f>
        <v>Sim</v>
      </c>
    </row>
    <row r="1138" customFormat="false" ht="15" hidden="false" customHeight="false" outlineLevel="0" collapsed="false">
      <c r="A1138" s="2" t="s">
        <v>1175</v>
      </c>
      <c r="B1138" s="3" t="n">
        <v>46323</v>
      </c>
      <c r="C1138" s="2" t="s">
        <v>41</v>
      </c>
      <c r="D1138" s="2" t="s">
        <v>16</v>
      </c>
      <c r="E1138" s="2" t="s">
        <v>36</v>
      </c>
      <c r="F1138" s="2" t="s">
        <v>32</v>
      </c>
      <c r="G1138" s="2" t="s">
        <v>19</v>
      </c>
      <c r="H1138" s="2" t="n">
        <v>193.4</v>
      </c>
      <c r="I1138" s="2" t="n">
        <v>10</v>
      </c>
      <c r="J1138" s="2" t="s">
        <v>20</v>
      </c>
      <c r="K1138" s="2" t="n">
        <v>5</v>
      </c>
      <c r="L1138" s="3" t="n">
        <f aca="false">B1138-WEEKDAY(B1138,2)+1</f>
        <v>46321</v>
      </c>
      <c r="M1138" s="4" t="n">
        <f aca="false">IFERROR(INDEX(02_Parâmetros!$B$14:$B$17,MATCH(C1138,02_Parâmetros!$A$14:$A$17,0)),"")</f>
        <v>240</v>
      </c>
      <c r="N1138" s="2" t="str">
        <f aca="false">IF(OR(H1138="",M1138=""),"",IF(H1138&lt;=M1138,"Sim","Não"))</f>
        <v>Sim</v>
      </c>
    </row>
    <row r="1139" customFormat="false" ht="15" hidden="false" customHeight="false" outlineLevel="0" collapsed="false">
      <c r="A1139" s="2" t="s">
        <v>1176</v>
      </c>
      <c r="B1139" s="3" t="n">
        <v>46323</v>
      </c>
      <c r="C1139" s="2" t="s">
        <v>15</v>
      </c>
      <c r="D1139" s="2" t="s">
        <v>16</v>
      </c>
      <c r="E1139" s="2" t="s">
        <v>17</v>
      </c>
      <c r="F1139" s="2" t="s">
        <v>42</v>
      </c>
      <c r="G1139" s="2" t="s">
        <v>19</v>
      </c>
      <c r="H1139" s="2" t="n">
        <v>0.6</v>
      </c>
      <c r="I1139" s="2" t="n">
        <v>8.6</v>
      </c>
      <c r="J1139" s="2" t="s">
        <v>20</v>
      </c>
      <c r="K1139" s="2" t="n">
        <v>4</v>
      </c>
      <c r="L1139" s="3" t="n">
        <f aca="false">B1139-WEEKDAY(B1139,2)+1</f>
        <v>46321</v>
      </c>
      <c r="M1139" s="4" t="n">
        <f aca="false">IFERROR(INDEX(02_Parâmetros!$B$14:$B$17,MATCH(C1139,02_Parâmetros!$A$14:$A$17,0)),"")</f>
        <v>1</v>
      </c>
      <c r="N1139" s="2" t="str">
        <f aca="false">IF(OR(H1139="",M1139=""),"",IF(H1139&lt;=M1139,"Sim","Não"))</f>
        <v>Sim</v>
      </c>
    </row>
    <row r="1140" customFormat="false" ht="15" hidden="false" customHeight="false" outlineLevel="0" collapsed="false">
      <c r="A1140" s="2" t="s">
        <v>1177</v>
      </c>
      <c r="B1140" s="3" t="n">
        <v>46323</v>
      </c>
      <c r="C1140" s="2" t="s">
        <v>44</v>
      </c>
      <c r="D1140" s="2" t="s">
        <v>38</v>
      </c>
      <c r="E1140" s="2" t="s">
        <v>47</v>
      </c>
      <c r="F1140" s="2" t="s">
        <v>34</v>
      </c>
      <c r="G1140" s="2" t="s">
        <v>19</v>
      </c>
      <c r="H1140" s="2" t="n">
        <v>2</v>
      </c>
      <c r="I1140" s="2" t="n">
        <v>9.4</v>
      </c>
      <c r="J1140" s="2" t="s">
        <v>25</v>
      </c>
      <c r="K1140" s="2"/>
      <c r="L1140" s="3" t="n">
        <f aca="false">B1140-WEEKDAY(B1140,2)+1</f>
        <v>46321</v>
      </c>
      <c r="M1140" s="4" t="n">
        <f aca="false">IFERROR(INDEX(02_Parâmetros!$B$14:$B$17,MATCH(C1140,02_Parâmetros!$A$14:$A$17,0)),"")</f>
        <v>2</v>
      </c>
      <c r="N1140" s="2" t="str">
        <f aca="false">IF(OR(H1140="",M1140=""),"",IF(H1140&lt;=M1140,"Sim","Não"))</f>
        <v>Sim</v>
      </c>
    </row>
    <row r="1141" customFormat="false" ht="15" hidden="false" customHeight="false" outlineLevel="0" collapsed="false">
      <c r="A1141" s="2" t="s">
        <v>1178</v>
      </c>
      <c r="B1141" s="3" t="n">
        <v>46323</v>
      </c>
      <c r="C1141" s="2" t="s">
        <v>15</v>
      </c>
      <c r="D1141" s="2" t="s">
        <v>22</v>
      </c>
      <c r="E1141" s="2" t="s">
        <v>23</v>
      </c>
      <c r="F1141" s="2" t="s">
        <v>42</v>
      </c>
      <c r="G1141" s="2" t="s">
        <v>19</v>
      </c>
      <c r="H1141" s="2" t="n">
        <v>0.8</v>
      </c>
      <c r="I1141" s="2" t="n">
        <v>11.2</v>
      </c>
      <c r="J1141" s="2" t="s">
        <v>20</v>
      </c>
      <c r="K1141" s="2"/>
      <c r="L1141" s="3" t="n">
        <f aca="false">B1141-WEEKDAY(B1141,2)+1</f>
        <v>46321</v>
      </c>
      <c r="M1141" s="4" t="n">
        <f aca="false">IFERROR(INDEX(02_Parâmetros!$B$14:$B$17,MATCH(C1141,02_Parâmetros!$A$14:$A$17,0)),"")</f>
        <v>1</v>
      </c>
      <c r="N1141" s="2" t="str">
        <f aca="false">IF(OR(H1141="",M1141=""),"",IF(H1141&lt;=M1141,"Sim","Não"))</f>
        <v>Sim</v>
      </c>
    </row>
    <row r="1142" customFormat="false" ht="15" hidden="false" customHeight="false" outlineLevel="0" collapsed="false">
      <c r="A1142" s="2" t="s">
        <v>1179</v>
      </c>
      <c r="B1142" s="3" t="n">
        <v>46323</v>
      </c>
      <c r="C1142" s="2" t="s">
        <v>44</v>
      </c>
      <c r="D1142" s="2" t="s">
        <v>22</v>
      </c>
      <c r="E1142" s="2" t="s">
        <v>23</v>
      </c>
      <c r="F1142" s="2" t="s">
        <v>18</v>
      </c>
      <c r="G1142" s="2" t="s">
        <v>19</v>
      </c>
      <c r="H1142" s="2" t="n">
        <v>1.1</v>
      </c>
      <c r="I1142" s="2" t="n">
        <v>6.9</v>
      </c>
      <c r="J1142" s="2" t="s">
        <v>20</v>
      </c>
      <c r="K1142" s="2" t="n">
        <v>5</v>
      </c>
      <c r="L1142" s="3" t="n">
        <f aca="false">B1142-WEEKDAY(B1142,2)+1</f>
        <v>46321</v>
      </c>
      <c r="M1142" s="4" t="n">
        <f aca="false">IFERROR(INDEX(02_Parâmetros!$B$14:$B$17,MATCH(C1142,02_Parâmetros!$A$14:$A$17,0)),"")</f>
        <v>2</v>
      </c>
      <c r="N1142" s="2" t="str">
        <f aca="false">IF(OR(H1142="",M1142=""),"",IF(H1142&lt;=M1142,"Sim","Não"))</f>
        <v>Sim</v>
      </c>
    </row>
    <row r="1143" customFormat="false" ht="15" hidden="false" customHeight="false" outlineLevel="0" collapsed="false">
      <c r="A1143" s="2" t="s">
        <v>1180</v>
      </c>
      <c r="B1143" s="3" t="n">
        <v>46323</v>
      </c>
      <c r="C1143" s="2" t="s">
        <v>27</v>
      </c>
      <c r="D1143" s="2" t="s">
        <v>16</v>
      </c>
      <c r="E1143" s="2" t="s">
        <v>31</v>
      </c>
      <c r="F1143" s="2" t="s">
        <v>70</v>
      </c>
      <c r="G1143" s="2" t="s">
        <v>19</v>
      </c>
      <c r="H1143" s="2" t="n">
        <v>5</v>
      </c>
      <c r="I1143" s="2" t="n">
        <v>11.7</v>
      </c>
      <c r="J1143" s="2" t="s">
        <v>20</v>
      </c>
      <c r="K1143" s="2"/>
      <c r="L1143" s="3" t="n">
        <f aca="false">B1143-WEEKDAY(B1143,2)+1</f>
        <v>46321</v>
      </c>
      <c r="M1143" s="4" t="n">
        <f aca="false">IFERROR(INDEX(02_Parâmetros!$B$14:$B$17,MATCH(C1143,02_Parâmetros!$A$14:$A$17,0)),"")</f>
        <v>10</v>
      </c>
      <c r="N1143" s="2" t="str">
        <f aca="false">IF(OR(H1143="",M1143=""),"",IF(H1143&lt;=M1143,"Sim","Não"))</f>
        <v>Sim</v>
      </c>
    </row>
    <row r="1144" customFormat="false" ht="15" hidden="false" customHeight="false" outlineLevel="0" collapsed="false">
      <c r="A1144" s="2" t="s">
        <v>1181</v>
      </c>
      <c r="B1144" s="3" t="n">
        <v>46323</v>
      </c>
      <c r="C1144" s="2" t="s">
        <v>27</v>
      </c>
      <c r="D1144" s="2" t="s">
        <v>16</v>
      </c>
      <c r="E1144" s="2" t="s">
        <v>36</v>
      </c>
      <c r="F1144" s="2" t="s">
        <v>32</v>
      </c>
      <c r="G1144" s="2" t="s">
        <v>19</v>
      </c>
      <c r="H1144" s="2" t="n">
        <v>18.2</v>
      </c>
      <c r="I1144" s="2" t="n">
        <v>6</v>
      </c>
      <c r="J1144" s="2" t="s">
        <v>25</v>
      </c>
      <c r="K1144" s="2" t="n">
        <v>3</v>
      </c>
      <c r="L1144" s="3" t="n">
        <f aca="false">B1144-WEEKDAY(B1144,2)+1</f>
        <v>46321</v>
      </c>
      <c r="M1144" s="4" t="n">
        <f aca="false">IFERROR(INDEX(02_Parâmetros!$B$14:$B$17,MATCH(C1144,02_Parâmetros!$A$14:$A$17,0)),"")</f>
        <v>10</v>
      </c>
      <c r="N1144" s="2" t="str">
        <f aca="false">IF(OR(H1144="",M1144=""),"",IF(H1144&lt;=M1144,"Sim","Não"))</f>
        <v>Não</v>
      </c>
    </row>
    <row r="1145" customFormat="false" ht="15" hidden="false" customHeight="false" outlineLevel="0" collapsed="false">
      <c r="A1145" s="2" t="s">
        <v>1182</v>
      </c>
      <c r="B1145" s="3" t="n">
        <v>46323</v>
      </c>
      <c r="C1145" s="2" t="s">
        <v>44</v>
      </c>
      <c r="D1145" s="2" t="s">
        <v>38</v>
      </c>
      <c r="E1145" s="2" t="s">
        <v>47</v>
      </c>
      <c r="F1145" s="2" t="s">
        <v>42</v>
      </c>
      <c r="G1145" s="2" t="s">
        <v>19</v>
      </c>
      <c r="H1145" s="2" t="n">
        <v>0.6</v>
      </c>
      <c r="I1145" s="2" t="n">
        <v>7.2</v>
      </c>
      <c r="J1145" s="2" t="s">
        <v>20</v>
      </c>
      <c r="K1145" s="2"/>
      <c r="L1145" s="3" t="n">
        <f aca="false">B1145-WEEKDAY(B1145,2)+1</f>
        <v>46321</v>
      </c>
      <c r="M1145" s="4" t="n">
        <f aca="false">IFERROR(INDEX(02_Parâmetros!$B$14:$B$17,MATCH(C1145,02_Parâmetros!$A$14:$A$17,0)),"")</f>
        <v>2</v>
      </c>
      <c r="N1145" s="2" t="str">
        <f aca="false">IF(OR(H1145="",M1145=""),"",IF(H1145&lt;=M1145,"Sim","Não"))</f>
        <v>Sim</v>
      </c>
    </row>
    <row r="1146" customFormat="false" ht="15" hidden="false" customHeight="false" outlineLevel="0" collapsed="false">
      <c r="A1146" s="2" t="s">
        <v>1183</v>
      </c>
      <c r="B1146" s="3" t="n">
        <v>46323</v>
      </c>
      <c r="C1146" s="2" t="s">
        <v>44</v>
      </c>
      <c r="D1146" s="2" t="s">
        <v>38</v>
      </c>
      <c r="E1146" s="2" t="s">
        <v>47</v>
      </c>
      <c r="F1146" s="2" t="s">
        <v>42</v>
      </c>
      <c r="G1146" s="2" t="s">
        <v>19</v>
      </c>
      <c r="H1146" s="2" t="n">
        <v>1.6</v>
      </c>
      <c r="I1146" s="2" t="n">
        <v>9.7</v>
      </c>
      <c r="J1146" s="2" t="s">
        <v>25</v>
      </c>
      <c r="K1146" s="2"/>
      <c r="L1146" s="3" t="n">
        <f aca="false">B1146-WEEKDAY(B1146,2)+1</f>
        <v>46321</v>
      </c>
      <c r="M1146" s="4" t="n">
        <f aca="false">IFERROR(INDEX(02_Parâmetros!$B$14:$B$17,MATCH(C1146,02_Parâmetros!$A$14:$A$17,0)),"")</f>
        <v>2</v>
      </c>
      <c r="N1146" s="2" t="str">
        <f aca="false">IF(OR(H1146="",M1146=""),"",IF(H1146&lt;=M1146,"Sim","Não"))</f>
        <v>Sim</v>
      </c>
    </row>
    <row r="1147" customFormat="false" ht="15" hidden="false" customHeight="false" outlineLevel="0" collapsed="false">
      <c r="A1147" s="2" t="s">
        <v>1184</v>
      </c>
      <c r="B1147" s="3" t="n">
        <v>46323</v>
      </c>
      <c r="C1147" s="2" t="s">
        <v>15</v>
      </c>
      <c r="D1147" s="2" t="s">
        <v>16</v>
      </c>
      <c r="E1147" s="2" t="s">
        <v>17</v>
      </c>
      <c r="F1147" s="2" t="s">
        <v>18</v>
      </c>
      <c r="G1147" s="2" t="s">
        <v>19</v>
      </c>
      <c r="H1147" s="2" t="n">
        <v>0.9</v>
      </c>
      <c r="I1147" s="2" t="n">
        <v>12.3</v>
      </c>
      <c r="J1147" s="2" t="s">
        <v>20</v>
      </c>
      <c r="K1147" s="2"/>
      <c r="L1147" s="3" t="n">
        <f aca="false">B1147-WEEKDAY(B1147,2)+1</f>
        <v>46321</v>
      </c>
      <c r="M1147" s="4" t="n">
        <f aca="false">IFERROR(INDEX(02_Parâmetros!$B$14:$B$17,MATCH(C1147,02_Parâmetros!$A$14:$A$17,0)),"")</f>
        <v>1</v>
      </c>
      <c r="N1147" s="2" t="str">
        <f aca="false">IF(OR(H1147="",M1147=""),"",IF(H1147&lt;=M1147,"Sim","Não"))</f>
        <v>Sim</v>
      </c>
    </row>
    <row r="1148" customFormat="false" ht="15" hidden="false" customHeight="false" outlineLevel="0" collapsed="false">
      <c r="A1148" s="2" t="s">
        <v>1185</v>
      </c>
      <c r="B1148" s="3" t="n">
        <v>46323</v>
      </c>
      <c r="C1148" s="2" t="s">
        <v>27</v>
      </c>
      <c r="D1148" s="2" t="s">
        <v>16</v>
      </c>
      <c r="E1148" s="2" t="s">
        <v>31</v>
      </c>
      <c r="F1148" s="2" t="s">
        <v>42</v>
      </c>
      <c r="G1148" s="2" t="s">
        <v>78</v>
      </c>
      <c r="H1148" s="2" t="n">
        <v>3.8</v>
      </c>
      <c r="I1148" s="2" t="n">
        <v>6.9</v>
      </c>
      <c r="J1148" s="2"/>
      <c r="K1148" s="2"/>
      <c r="L1148" s="3" t="n">
        <f aca="false">B1148-WEEKDAY(B1148,2)+1</f>
        <v>46321</v>
      </c>
      <c r="M1148" s="4" t="n">
        <f aca="false">IFERROR(INDEX(02_Parâmetros!$B$14:$B$17,MATCH(C1148,02_Parâmetros!$A$14:$A$17,0)),"")</f>
        <v>10</v>
      </c>
      <c r="N1148" s="2" t="str">
        <f aca="false">IF(OR(H1148="",M1148=""),"",IF(H1148&lt;=M1148,"Sim","Não"))</f>
        <v>Sim</v>
      </c>
    </row>
    <row r="1149" customFormat="false" ht="15" hidden="false" customHeight="false" outlineLevel="0" collapsed="false">
      <c r="A1149" s="2" t="s">
        <v>1186</v>
      </c>
      <c r="B1149" s="3" t="n">
        <v>46323</v>
      </c>
      <c r="C1149" s="2" t="s">
        <v>41</v>
      </c>
      <c r="D1149" s="2" t="s">
        <v>38</v>
      </c>
      <c r="E1149" s="2" t="s">
        <v>39</v>
      </c>
      <c r="F1149" s="2" t="s">
        <v>18</v>
      </c>
      <c r="G1149" s="2" t="s">
        <v>19</v>
      </c>
      <c r="H1149" s="2" t="n">
        <v>132.2</v>
      </c>
      <c r="I1149" s="2" t="n">
        <v>9.1</v>
      </c>
      <c r="J1149" s="2" t="s">
        <v>20</v>
      </c>
      <c r="K1149" s="2"/>
      <c r="L1149" s="3" t="n">
        <f aca="false">B1149-WEEKDAY(B1149,2)+1</f>
        <v>46321</v>
      </c>
      <c r="M1149" s="4" t="n">
        <f aca="false">IFERROR(INDEX(02_Parâmetros!$B$14:$B$17,MATCH(C1149,02_Parâmetros!$A$14:$A$17,0)),"")</f>
        <v>240</v>
      </c>
      <c r="N1149" s="2" t="str">
        <f aca="false">IF(OR(H1149="",M1149=""),"",IF(H1149&lt;=M1149,"Sim","Não"))</f>
        <v>Sim</v>
      </c>
    </row>
    <row r="1150" customFormat="false" ht="15" hidden="false" customHeight="false" outlineLevel="0" collapsed="false">
      <c r="A1150" s="2" t="s">
        <v>1187</v>
      </c>
      <c r="B1150" s="3" t="n">
        <v>46323</v>
      </c>
      <c r="C1150" s="2" t="s">
        <v>44</v>
      </c>
      <c r="D1150" s="2" t="s">
        <v>16</v>
      </c>
      <c r="E1150" s="2" t="s">
        <v>36</v>
      </c>
      <c r="F1150" s="2" t="s">
        <v>32</v>
      </c>
      <c r="G1150" s="2" t="s">
        <v>19</v>
      </c>
      <c r="H1150" s="2" t="n">
        <v>1.9</v>
      </c>
      <c r="I1150" s="2" t="n">
        <v>6.4</v>
      </c>
      <c r="J1150" s="2" t="s">
        <v>20</v>
      </c>
      <c r="K1150" s="2"/>
      <c r="L1150" s="3" t="n">
        <f aca="false">B1150-WEEKDAY(B1150,2)+1</f>
        <v>46321</v>
      </c>
      <c r="M1150" s="4" t="n">
        <f aca="false">IFERROR(INDEX(02_Parâmetros!$B$14:$B$17,MATCH(C1150,02_Parâmetros!$A$14:$A$17,0)),"")</f>
        <v>2</v>
      </c>
      <c r="N1150" s="2" t="str">
        <f aca="false">IF(OR(H1150="",M1150=""),"",IF(H1150&lt;=M1150,"Sim","Não"))</f>
        <v>Sim</v>
      </c>
    </row>
    <row r="1151" customFormat="false" ht="15" hidden="false" customHeight="false" outlineLevel="0" collapsed="false">
      <c r="A1151" s="2" t="s">
        <v>1188</v>
      </c>
      <c r="B1151" s="3" t="n">
        <v>46323</v>
      </c>
      <c r="C1151" s="2" t="s">
        <v>27</v>
      </c>
      <c r="D1151" s="2" t="s">
        <v>38</v>
      </c>
      <c r="E1151" s="2" t="s">
        <v>39</v>
      </c>
      <c r="F1151" s="2" t="s">
        <v>32</v>
      </c>
      <c r="G1151" s="2" t="s">
        <v>19</v>
      </c>
      <c r="H1151" s="2" t="n">
        <v>3.3</v>
      </c>
      <c r="I1151" s="2" t="n">
        <v>4.3</v>
      </c>
      <c r="J1151" s="2" t="s">
        <v>20</v>
      </c>
      <c r="K1151" s="2" t="n">
        <v>5</v>
      </c>
      <c r="L1151" s="3" t="n">
        <f aca="false">B1151-WEEKDAY(B1151,2)+1</f>
        <v>46321</v>
      </c>
      <c r="M1151" s="4" t="n">
        <f aca="false">IFERROR(INDEX(02_Parâmetros!$B$14:$B$17,MATCH(C1151,02_Parâmetros!$A$14:$A$17,0)),"")</f>
        <v>10</v>
      </c>
      <c r="N1151" s="2" t="str">
        <f aca="false">IF(OR(H1151="",M1151=""),"",IF(H1151&lt;=M1151,"Sim","Não"))</f>
        <v>Sim</v>
      </c>
    </row>
    <row r="1152" customFormat="false" ht="15" hidden="false" customHeight="false" outlineLevel="0" collapsed="false">
      <c r="A1152" s="2" t="s">
        <v>1189</v>
      </c>
      <c r="B1152" s="3" t="n">
        <v>46323</v>
      </c>
      <c r="C1152" s="2" t="s">
        <v>15</v>
      </c>
      <c r="D1152" s="2" t="s">
        <v>22</v>
      </c>
      <c r="E1152" s="2" t="s">
        <v>28</v>
      </c>
      <c r="F1152" s="2" t="s">
        <v>18</v>
      </c>
      <c r="G1152" s="2" t="s">
        <v>19</v>
      </c>
      <c r="H1152" s="2" t="n">
        <v>2.6</v>
      </c>
      <c r="I1152" s="2" t="n">
        <v>15.2</v>
      </c>
      <c r="J1152" s="2" t="s">
        <v>25</v>
      </c>
      <c r="K1152" s="2"/>
      <c r="L1152" s="3" t="n">
        <f aca="false">B1152-WEEKDAY(B1152,2)+1</f>
        <v>46321</v>
      </c>
      <c r="M1152" s="4" t="n">
        <f aca="false">IFERROR(INDEX(02_Parâmetros!$B$14:$B$17,MATCH(C1152,02_Parâmetros!$A$14:$A$17,0)),"")</f>
        <v>1</v>
      </c>
      <c r="N1152" s="2" t="str">
        <f aca="false">IF(OR(H1152="",M1152=""),"",IF(H1152&lt;=M1152,"Sim","Não"))</f>
        <v>Não</v>
      </c>
    </row>
    <row r="1153" customFormat="false" ht="15" hidden="false" customHeight="false" outlineLevel="0" collapsed="false">
      <c r="A1153" s="2" t="s">
        <v>1190</v>
      </c>
      <c r="B1153" s="3" t="n">
        <v>46323</v>
      </c>
      <c r="C1153" s="2" t="s">
        <v>44</v>
      </c>
      <c r="D1153" s="2" t="s">
        <v>16</v>
      </c>
      <c r="E1153" s="2" t="s">
        <v>31</v>
      </c>
      <c r="F1153" s="2" t="s">
        <v>32</v>
      </c>
      <c r="G1153" s="2" t="s">
        <v>19</v>
      </c>
      <c r="H1153" s="2" t="n">
        <v>0.5</v>
      </c>
      <c r="I1153" s="2" t="n">
        <v>4.6</v>
      </c>
      <c r="J1153" s="2" t="s">
        <v>20</v>
      </c>
      <c r="K1153" s="2" t="n">
        <v>5</v>
      </c>
      <c r="L1153" s="3" t="n">
        <f aca="false">B1153-WEEKDAY(B1153,2)+1</f>
        <v>46321</v>
      </c>
      <c r="M1153" s="4" t="n">
        <f aca="false">IFERROR(INDEX(02_Parâmetros!$B$14:$B$17,MATCH(C1153,02_Parâmetros!$A$14:$A$17,0)),"")</f>
        <v>2</v>
      </c>
      <c r="N1153" s="2" t="str">
        <f aca="false">IF(OR(H1153="",M1153=""),"",IF(H1153&lt;=M1153,"Sim","Não"))</f>
        <v>Sim</v>
      </c>
    </row>
    <row r="1154" customFormat="false" ht="15" hidden="false" customHeight="false" outlineLevel="0" collapsed="false">
      <c r="A1154" s="2" t="s">
        <v>1191</v>
      </c>
      <c r="B1154" s="3" t="n">
        <v>46323</v>
      </c>
      <c r="C1154" s="2" t="s">
        <v>27</v>
      </c>
      <c r="D1154" s="2" t="s">
        <v>38</v>
      </c>
      <c r="E1154" s="2" t="s">
        <v>47</v>
      </c>
      <c r="F1154" s="2" t="s">
        <v>34</v>
      </c>
      <c r="G1154" s="2" t="s">
        <v>78</v>
      </c>
      <c r="H1154" s="2" t="n">
        <v>3.8</v>
      </c>
      <c r="I1154" s="2" t="n">
        <v>6.9</v>
      </c>
      <c r="J1154" s="2"/>
      <c r="K1154" s="2"/>
      <c r="L1154" s="3" t="n">
        <f aca="false">B1154-WEEKDAY(B1154,2)+1</f>
        <v>46321</v>
      </c>
      <c r="M1154" s="4" t="n">
        <f aca="false">IFERROR(INDEX(02_Parâmetros!$B$14:$B$17,MATCH(C1154,02_Parâmetros!$A$14:$A$17,0)),"")</f>
        <v>10</v>
      </c>
      <c r="N1154" s="2" t="str">
        <f aca="false">IF(OR(H1154="",M1154=""),"",IF(H1154&lt;=M1154,"Sim","Não"))</f>
        <v>Sim</v>
      </c>
    </row>
    <row r="1155" customFormat="false" ht="15" hidden="false" customHeight="false" outlineLevel="0" collapsed="false">
      <c r="A1155" s="2" t="s">
        <v>1192</v>
      </c>
      <c r="B1155" s="3" t="n">
        <v>46323</v>
      </c>
      <c r="C1155" s="2" t="s">
        <v>41</v>
      </c>
      <c r="D1155" s="2" t="s">
        <v>22</v>
      </c>
      <c r="E1155" s="2" t="s">
        <v>23</v>
      </c>
      <c r="F1155" s="2" t="s">
        <v>70</v>
      </c>
      <c r="G1155" s="2" t="s">
        <v>19</v>
      </c>
      <c r="H1155" s="2" t="n">
        <v>70.2</v>
      </c>
      <c r="I1155" s="2" t="n">
        <v>12.2</v>
      </c>
      <c r="J1155" s="2" t="s">
        <v>20</v>
      </c>
      <c r="K1155" s="2" t="n">
        <v>4</v>
      </c>
      <c r="L1155" s="3" t="n">
        <f aca="false">B1155-WEEKDAY(B1155,2)+1</f>
        <v>46321</v>
      </c>
      <c r="M1155" s="4" t="n">
        <f aca="false">IFERROR(INDEX(02_Parâmetros!$B$14:$B$17,MATCH(C1155,02_Parâmetros!$A$14:$A$17,0)),"")</f>
        <v>240</v>
      </c>
      <c r="N1155" s="2" t="str">
        <f aca="false">IF(OR(H1155="",M1155=""),"",IF(H1155&lt;=M1155,"Sim","Não"))</f>
        <v>Sim</v>
      </c>
    </row>
    <row r="1156" customFormat="false" ht="15" hidden="false" customHeight="false" outlineLevel="0" collapsed="false">
      <c r="A1156" s="2" t="s">
        <v>1193</v>
      </c>
      <c r="B1156" s="3" t="n">
        <v>46323</v>
      </c>
      <c r="C1156" s="2" t="s">
        <v>27</v>
      </c>
      <c r="D1156" s="2" t="s">
        <v>22</v>
      </c>
      <c r="E1156" s="2" t="s">
        <v>28</v>
      </c>
      <c r="F1156" s="2" t="s">
        <v>42</v>
      </c>
      <c r="G1156" s="2" t="s">
        <v>19</v>
      </c>
      <c r="H1156" s="2" t="n">
        <v>6.1</v>
      </c>
      <c r="I1156" s="2" t="n">
        <v>11.5</v>
      </c>
      <c r="J1156" s="2" t="s">
        <v>25</v>
      </c>
      <c r="K1156" s="2"/>
      <c r="L1156" s="3" t="n">
        <f aca="false">B1156-WEEKDAY(B1156,2)+1</f>
        <v>46321</v>
      </c>
      <c r="M1156" s="4" t="n">
        <f aca="false">IFERROR(INDEX(02_Parâmetros!$B$14:$B$17,MATCH(C1156,02_Parâmetros!$A$14:$A$17,0)),"")</f>
        <v>10</v>
      </c>
      <c r="N1156" s="2" t="str">
        <f aca="false">IF(OR(H1156="",M1156=""),"",IF(H1156&lt;=M1156,"Sim","Não"))</f>
        <v>Sim</v>
      </c>
    </row>
    <row r="1157" customFormat="false" ht="15" hidden="false" customHeight="false" outlineLevel="0" collapsed="false">
      <c r="A1157" s="2" t="s">
        <v>1194</v>
      </c>
      <c r="B1157" s="3" t="n">
        <v>46323</v>
      </c>
      <c r="C1157" s="2" t="s">
        <v>27</v>
      </c>
      <c r="D1157" s="2" t="s">
        <v>22</v>
      </c>
      <c r="E1157" s="2" t="s">
        <v>28</v>
      </c>
      <c r="F1157" s="2" t="s">
        <v>34</v>
      </c>
      <c r="G1157" s="2" t="s">
        <v>19</v>
      </c>
      <c r="H1157" s="2" t="n">
        <v>9.1</v>
      </c>
      <c r="I1157" s="2" t="n">
        <v>6</v>
      </c>
      <c r="J1157" s="2" t="s">
        <v>20</v>
      </c>
      <c r="K1157" s="2"/>
      <c r="L1157" s="3" t="n">
        <f aca="false">B1157-WEEKDAY(B1157,2)+1</f>
        <v>46321</v>
      </c>
      <c r="M1157" s="4" t="n">
        <f aca="false">IFERROR(INDEX(02_Parâmetros!$B$14:$B$17,MATCH(C1157,02_Parâmetros!$A$14:$A$17,0)),"")</f>
        <v>10</v>
      </c>
      <c r="N1157" s="2" t="str">
        <f aca="false">IF(OR(H1157="",M1157=""),"",IF(H1157&lt;=M1157,"Sim","Não"))</f>
        <v>Sim</v>
      </c>
    </row>
    <row r="1158" customFormat="false" ht="15" hidden="false" customHeight="false" outlineLevel="0" collapsed="false">
      <c r="A1158" s="2" t="s">
        <v>1195</v>
      </c>
      <c r="B1158" s="3" t="n">
        <v>46323</v>
      </c>
      <c r="C1158" s="2" t="s">
        <v>44</v>
      </c>
      <c r="D1158" s="2" t="s">
        <v>38</v>
      </c>
      <c r="E1158" s="2" t="s">
        <v>56</v>
      </c>
      <c r="F1158" s="2" t="s">
        <v>24</v>
      </c>
      <c r="G1158" s="2" t="s">
        <v>78</v>
      </c>
      <c r="H1158" s="2" t="n">
        <v>1</v>
      </c>
      <c r="I1158" s="2" t="n">
        <v>9</v>
      </c>
      <c r="J1158" s="2"/>
      <c r="K1158" s="2"/>
      <c r="L1158" s="3" t="n">
        <f aca="false">B1158-WEEKDAY(B1158,2)+1</f>
        <v>46321</v>
      </c>
      <c r="M1158" s="4" t="n">
        <f aca="false">IFERROR(INDEX(02_Parâmetros!$B$14:$B$17,MATCH(C1158,02_Parâmetros!$A$14:$A$17,0)),"")</f>
        <v>2</v>
      </c>
      <c r="N1158" s="2" t="str">
        <f aca="false">IF(OR(H1158="",M1158=""),"",IF(H1158&lt;=M1158,"Sim","Não"))</f>
        <v>Sim</v>
      </c>
    </row>
    <row r="1159" customFormat="false" ht="15" hidden="false" customHeight="false" outlineLevel="0" collapsed="false">
      <c r="A1159" s="2" t="s">
        <v>1196</v>
      </c>
      <c r="B1159" s="3" t="n">
        <v>46323</v>
      </c>
      <c r="C1159" s="2" t="s">
        <v>15</v>
      </c>
      <c r="D1159" s="2" t="s">
        <v>22</v>
      </c>
      <c r="E1159" s="2" t="s">
        <v>28</v>
      </c>
      <c r="F1159" s="2" t="s">
        <v>32</v>
      </c>
      <c r="G1159" s="2" t="s">
        <v>19</v>
      </c>
      <c r="H1159" s="2" t="n">
        <v>1.9</v>
      </c>
      <c r="I1159" s="2" t="n">
        <v>8.1</v>
      </c>
      <c r="J1159" s="2" t="s">
        <v>20</v>
      </c>
      <c r="K1159" s="2"/>
      <c r="L1159" s="3" t="n">
        <f aca="false">B1159-WEEKDAY(B1159,2)+1</f>
        <v>46321</v>
      </c>
      <c r="M1159" s="4" t="n">
        <f aca="false">IFERROR(INDEX(02_Parâmetros!$B$14:$B$17,MATCH(C1159,02_Parâmetros!$A$14:$A$17,0)),"")</f>
        <v>1</v>
      </c>
      <c r="N1159" s="2" t="str">
        <f aca="false">IF(OR(H1159="",M1159=""),"",IF(H1159&lt;=M1159,"Sim","Não"))</f>
        <v>Não</v>
      </c>
    </row>
    <row r="1160" customFormat="false" ht="15" hidden="false" customHeight="false" outlineLevel="0" collapsed="false">
      <c r="A1160" s="2" t="s">
        <v>1197</v>
      </c>
      <c r="B1160" s="3" t="n">
        <v>46323</v>
      </c>
      <c r="C1160" s="2" t="s">
        <v>41</v>
      </c>
      <c r="D1160" s="2" t="s">
        <v>38</v>
      </c>
      <c r="E1160" s="2" t="s">
        <v>47</v>
      </c>
      <c r="F1160" s="2" t="s">
        <v>18</v>
      </c>
      <c r="G1160" s="2" t="s">
        <v>19</v>
      </c>
      <c r="H1160" s="2" t="n">
        <v>84.5</v>
      </c>
      <c r="I1160" s="2" t="n">
        <v>8.9</v>
      </c>
      <c r="J1160" s="2" t="s">
        <v>20</v>
      </c>
      <c r="K1160" s="2"/>
      <c r="L1160" s="3" t="n">
        <f aca="false">B1160-WEEKDAY(B1160,2)+1</f>
        <v>46321</v>
      </c>
      <c r="M1160" s="4" t="n">
        <f aca="false">IFERROR(INDEX(02_Parâmetros!$B$14:$B$17,MATCH(C1160,02_Parâmetros!$A$14:$A$17,0)),"")</f>
        <v>240</v>
      </c>
      <c r="N1160" s="2" t="str">
        <f aca="false">IF(OR(H1160="",M1160=""),"",IF(H1160&lt;=M1160,"Sim","Não"))</f>
        <v>Sim</v>
      </c>
    </row>
    <row r="1161" customFormat="false" ht="15" hidden="false" customHeight="false" outlineLevel="0" collapsed="false">
      <c r="A1161" s="2" t="s">
        <v>1198</v>
      </c>
      <c r="B1161" s="3" t="n">
        <v>46323</v>
      </c>
      <c r="C1161" s="2" t="s">
        <v>41</v>
      </c>
      <c r="D1161" s="2" t="s">
        <v>22</v>
      </c>
      <c r="E1161" s="2" t="s">
        <v>23</v>
      </c>
      <c r="F1161" s="2" t="s">
        <v>70</v>
      </c>
      <c r="G1161" s="2" t="s">
        <v>78</v>
      </c>
      <c r="H1161" s="2" t="n">
        <v>173.8</v>
      </c>
      <c r="I1161" s="2" t="n">
        <v>9</v>
      </c>
      <c r="J1161" s="2"/>
      <c r="K1161" s="2" t="n">
        <v>4</v>
      </c>
      <c r="L1161" s="3" t="n">
        <f aca="false">B1161-WEEKDAY(B1161,2)+1</f>
        <v>46321</v>
      </c>
      <c r="M1161" s="4" t="n">
        <f aca="false">IFERROR(INDEX(02_Parâmetros!$B$14:$B$17,MATCH(C1161,02_Parâmetros!$A$14:$A$17,0)),"")</f>
        <v>240</v>
      </c>
      <c r="N1161" s="2" t="str">
        <f aca="false">IF(OR(H1161="",M1161=""),"",IF(H1161&lt;=M1161,"Sim","Não"))</f>
        <v>Sim</v>
      </c>
    </row>
    <row r="1162" customFormat="false" ht="15" hidden="false" customHeight="false" outlineLevel="0" collapsed="false">
      <c r="A1162" s="2" t="s">
        <v>1199</v>
      </c>
      <c r="B1162" s="3" t="n">
        <v>46324</v>
      </c>
      <c r="C1162" s="2" t="s">
        <v>44</v>
      </c>
      <c r="D1162" s="2" t="s">
        <v>16</v>
      </c>
      <c r="E1162" s="2" t="s">
        <v>31</v>
      </c>
      <c r="F1162" s="2" t="s">
        <v>18</v>
      </c>
      <c r="G1162" s="2" t="s">
        <v>78</v>
      </c>
      <c r="H1162" s="2" t="n">
        <v>0.8</v>
      </c>
      <c r="I1162" s="2" t="n">
        <v>6.8</v>
      </c>
      <c r="J1162" s="2"/>
      <c r="K1162" s="2"/>
      <c r="L1162" s="3" t="n">
        <f aca="false">B1162-WEEKDAY(B1162,2)+1</f>
        <v>46321</v>
      </c>
      <c r="M1162" s="4" t="n">
        <f aca="false">IFERROR(INDEX(02_Parâmetros!$B$14:$B$17,MATCH(C1162,02_Parâmetros!$A$14:$A$17,0)),"")</f>
        <v>2</v>
      </c>
      <c r="N1162" s="2" t="str">
        <f aca="false">IF(OR(H1162="",M1162=""),"",IF(H1162&lt;=M1162,"Sim","Não"))</f>
        <v>Sim</v>
      </c>
    </row>
    <row r="1163" customFormat="false" ht="15" hidden="false" customHeight="false" outlineLevel="0" collapsed="false">
      <c r="A1163" s="2" t="s">
        <v>1200</v>
      </c>
      <c r="B1163" s="3" t="n">
        <v>46324</v>
      </c>
      <c r="C1163" s="2" t="s">
        <v>27</v>
      </c>
      <c r="D1163" s="2" t="s">
        <v>16</v>
      </c>
      <c r="E1163" s="2" t="s">
        <v>36</v>
      </c>
      <c r="F1163" s="2" t="s">
        <v>18</v>
      </c>
      <c r="G1163" s="2" t="s">
        <v>19</v>
      </c>
      <c r="H1163" s="2" t="n">
        <v>19.7</v>
      </c>
      <c r="I1163" s="2" t="n">
        <v>8.8</v>
      </c>
      <c r="J1163" s="2" t="s">
        <v>20</v>
      </c>
      <c r="K1163" s="2"/>
      <c r="L1163" s="3" t="n">
        <f aca="false">B1163-WEEKDAY(B1163,2)+1</f>
        <v>46321</v>
      </c>
      <c r="M1163" s="4" t="n">
        <f aca="false">IFERROR(INDEX(02_Parâmetros!$B$14:$B$17,MATCH(C1163,02_Parâmetros!$A$14:$A$17,0)),"")</f>
        <v>10</v>
      </c>
      <c r="N1163" s="2" t="str">
        <f aca="false">IF(OR(H1163="",M1163=""),"",IF(H1163&lt;=M1163,"Sim","Não"))</f>
        <v>Não</v>
      </c>
    </row>
    <row r="1164" customFormat="false" ht="15" hidden="false" customHeight="false" outlineLevel="0" collapsed="false">
      <c r="A1164" s="2" t="s">
        <v>1201</v>
      </c>
      <c r="B1164" s="3" t="n">
        <v>46324</v>
      </c>
      <c r="C1164" s="2" t="s">
        <v>41</v>
      </c>
      <c r="D1164" s="2" t="s">
        <v>38</v>
      </c>
      <c r="E1164" s="2" t="s">
        <v>39</v>
      </c>
      <c r="F1164" s="2" t="s">
        <v>18</v>
      </c>
      <c r="G1164" s="2" t="s">
        <v>78</v>
      </c>
      <c r="H1164" s="2" t="n">
        <v>61.7</v>
      </c>
      <c r="I1164" s="2" t="n">
        <v>11.1</v>
      </c>
      <c r="J1164" s="2"/>
      <c r="K1164" s="2" t="n">
        <v>4</v>
      </c>
      <c r="L1164" s="3" t="n">
        <f aca="false">B1164-WEEKDAY(B1164,2)+1</f>
        <v>46321</v>
      </c>
      <c r="M1164" s="4" t="n">
        <f aca="false">IFERROR(INDEX(02_Parâmetros!$B$14:$B$17,MATCH(C1164,02_Parâmetros!$A$14:$A$17,0)),"")</f>
        <v>240</v>
      </c>
      <c r="N1164" s="2" t="str">
        <f aca="false">IF(OR(H1164="",M1164=""),"",IF(H1164&lt;=M1164,"Sim","Não"))</f>
        <v>Sim</v>
      </c>
    </row>
    <row r="1165" customFormat="false" ht="15" hidden="false" customHeight="false" outlineLevel="0" collapsed="false">
      <c r="A1165" s="2" t="s">
        <v>1202</v>
      </c>
      <c r="B1165" s="3" t="n">
        <v>46324</v>
      </c>
      <c r="C1165" s="2" t="s">
        <v>41</v>
      </c>
      <c r="D1165" s="2" t="s">
        <v>22</v>
      </c>
      <c r="E1165" s="2" t="s">
        <v>28</v>
      </c>
      <c r="F1165" s="2" t="s">
        <v>42</v>
      </c>
      <c r="G1165" s="2" t="s">
        <v>19</v>
      </c>
      <c r="H1165" s="2" t="n">
        <v>221.4</v>
      </c>
      <c r="I1165" s="2" t="n">
        <v>13.5</v>
      </c>
      <c r="J1165" s="2" t="s">
        <v>20</v>
      </c>
      <c r="K1165" s="2" t="n">
        <v>4</v>
      </c>
      <c r="L1165" s="3" t="n">
        <f aca="false">B1165-WEEKDAY(B1165,2)+1</f>
        <v>46321</v>
      </c>
      <c r="M1165" s="4" t="n">
        <f aca="false">IFERROR(INDEX(02_Parâmetros!$B$14:$B$17,MATCH(C1165,02_Parâmetros!$A$14:$A$17,0)),"")</f>
        <v>240</v>
      </c>
      <c r="N1165" s="2" t="str">
        <f aca="false">IF(OR(H1165="",M1165=""),"",IF(H1165&lt;=M1165,"Sim","Não"))</f>
        <v>Sim</v>
      </c>
    </row>
    <row r="1166" customFormat="false" ht="15" hidden="false" customHeight="false" outlineLevel="0" collapsed="false">
      <c r="A1166" s="2" t="s">
        <v>1203</v>
      </c>
      <c r="B1166" s="3" t="n">
        <v>46324</v>
      </c>
      <c r="C1166" s="2" t="s">
        <v>27</v>
      </c>
      <c r="D1166" s="2" t="s">
        <v>22</v>
      </c>
      <c r="E1166" s="2" t="s">
        <v>28</v>
      </c>
      <c r="F1166" s="2" t="s">
        <v>34</v>
      </c>
      <c r="G1166" s="2" t="s">
        <v>78</v>
      </c>
      <c r="H1166" s="2" t="n">
        <v>9.3</v>
      </c>
      <c r="I1166" s="2" t="n">
        <v>6.3</v>
      </c>
      <c r="J1166" s="2"/>
      <c r="K1166" s="2" t="n">
        <v>4</v>
      </c>
      <c r="L1166" s="3" t="n">
        <f aca="false">B1166-WEEKDAY(B1166,2)+1</f>
        <v>46321</v>
      </c>
      <c r="M1166" s="4" t="n">
        <f aca="false">IFERROR(INDEX(02_Parâmetros!$B$14:$B$17,MATCH(C1166,02_Parâmetros!$A$14:$A$17,0)),"")</f>
        <v>10</v>
      </c>
      <c r="N1166" s="2" t="str">
        <f aca="false">IF(OR(H1166="",M1166=""),"",IF(H1166&lt;=M1166,"Sim","Não"))</f>
        <v>Sim</v>
      </c>
    </row>
    <row r="1167" customFormat="false" ht="15" hidden="false" customHeight="false" outlineLevel="0" collapsed="false">
      <c r="A1167" s="2" t="s">
        <v>1204</v>
      </c>
      <c r="B1167" s="3" t="n">
        <v>46324</v>
      </c>
      <c r="C1167" s="2" t="s">
        <v>27</v>
      </c>
      <c r="D1167" s="2" t="s">
        <v>16</v>
      </c>
      <c r="E1167" s="2" t="s">
        <v>31</v>
      </c>
      <c r="F1167" s="2" t="s">
        <v>42</v>
      </c>
      <c r="G1167" s="2" t="s">
        <v>19</v>
      </c>
      <c r="H1167" s="2" t="n">
        <v>5.7</v>
      </c>
      <c r="I1167" s="2" t="n">
        <v>5.7</v>
      </c>
      <c r="J1167" s="2" t="s">
        <v>20</v>
      </c>
      <c r="K1167" s="2"/>
      <c r="L1167" s="3" t="n">
        <f aca="false">B1167-WEEKDAY(B1167,2)+1</f>
        <v>46321</v>
      </c>
      <c r="M1167" s="4" t="n">
        <f aca="false">IFERROR(INDEX(02_Parâmetros!$B$14:$B$17,MATCH(C1167,02_Parâmetros!$A$14:$A$17,0)),"")</f>
        <v>10</v>
      </c>
      <c r="N1167" s="2" t="str">
        <f aca="false">IF(OR(H1167="",M1167=""),"",IF(H1167&lt;=M1167,"Sim","Não"))</f>
        <v>Sim</v>
      </c>
    </row>
    <row r="1168" customFormat="false" ht="15" hidden="false" customHeight="false" outlineLevel="0" collapsed="false">
      <c r="A1168" s="2" t="s">
        <v>1205</v>
      </c>
      <c r="B1168" s="3" t="n">
        <v>46324</v>
      </c>
      <c r="C1168" s="2" t="s">
        <v>41</v>
      </c>
      <c r="D1168" s="2" t="s">
        <v>16</v>
      </c>
      <c r="E1168" s="2" t="s">
        <v>31</v>
      </c>
      <c r="F1168" s="2" t="s">
        <v>70</v>
      </c>
      <c r="G1168" s="2" t="s">
        <v>19</v>
      </c>
      <c r="H1168" s="2" t="n">
        <v>126.9</v>
      </c>
      <c r="I1168" s="2" t="n">
        <v>7.1</v>
      </c>
      <c r="J1168" s="2" t="s">
        <v>20</v>
      </c>
      <c r="K1168" s="2" t="n">
        <v>4</v>
      </c>
      <c r="L1168" s="3" t="n">
        <f aca="false">B1168-WEEKDAY(B1168,2)+1</f>
        <v>46321</v>
      </c>
      <c r="M1168" s="4" t="n">
        <f aca="false">IFERROR(INDEX(02_Parâmetros!$B$14:$B$17,MATCH(C1168,02_Parâmetros!$A$14:$A$17,0)),"")</f>
        <v>240</v>
      </c>
      <c r="N1168" s="2" t="str">
        <f aca="false">IF(OR(H1168="",M1168=""),"",IF(H1168&lt;=M1168,"Sim","Não"))</f>
        <v>Sim</v>
      </c>
    </row>
    <row r="1169" customFormat="false" ht="15" hidden="false" customHeight="false" outlineLevel="0" collapsed="false">
      <c r="A1169" s="2" t="s">
        <v>1206</v>
      </c>
      <c r="B1169" s="3" t="n">
        <v>46324</v>
      </c>
      <c r="C1169" s="2" t="s">
        <v>41</v>
      </c>
      <c r="D1169" s="2" t="s">
        <v>16</v>
      </c>
      <c r="E1169" s="2" t="s">
        <v>17</v>
      </c>
      <c r="F1169" s="2" t="s">
        <v>24</v>
      </c>
      <c r="G1169" s="2" t="s">
        <v>19</v>
      </c>
      <c r="H1169" s="2" t="n">
        <v>77.4</v>
      </c>
      <c r="I1169" s="2" t="n">
        <v>11.7</v>
      </c>
      <c r="J1169" s="2" t="s">
        <v>20</v>
      </c>
      <c r="K1169" s="2" t="n">
        <v>5</v>
      </c>
      <c r="L1169" s="3" t="n">
        <f aca="false">B1169-WEEKDAY(B1169,2)+1</f>
        <v>46321</v>
      </c>
      <c r="M1169" s="4" t="n">
        <f aca="false">IFERROR(INDEX(02_Parâmetros!$B$14:$B$17,MATCH(C1169,02_Parâmetros!$A$14:$A$17,0)),"")</f>
        <v>240</v>
      </c>
      <c r="N1169" s="2" t="str">
        <f aca="false">IF(OR(H1169="",M1169=""),"",IF(H1169&lt;=M1169,"Sim","Não"))</f>
        <v>Sim</v>
      </c>
    </row>
    <row r="1170" customFormat="false" ht="15" hidden="false" customHeight="false" outlineLevel="0" collapsed="false">
      <c r="A1170" s="2" t="s">
        <v>1207</v>
      </c>
      <c r="B1170" s="3" t="n">
        <v>46324</v>
      </c>
      <c r="C1170" s="2" t="s">
        <v>41</v>
      </c>
      <c r="D1170" s="2" t="s">
        <v>22</v>
      </c>
      <c r="E1170" s="2" t="s">
        <v>28</v>
      </c>
      <c r="F1170" s="2" t="s">
        <v>34</v>
      </c>
      <c r="G1170" s="2" t="s">
        <v>19</v>
      </c>
      <c r="H1170" s="2" t="n">
        <v>91.4</v>
      </c>
      <c r="I1170" s="2" t="n">
        <v>6.3</v>
      </c>
      <c r="J1170" s="2" t="s">
        <v>20</v>
      </c>
      <c r="K1170" s="2"/>
      <c r="L1170" s="3" t="n">
        <f aca="false">B1170-WEEKDAY(B1170,2)+1</f>
        <v>46321</v>
      </c>
      <c r="M1170" s="4" t="n">
        <f aca="false">IFERROR(INDEX(02_Parâmetros!$B$14:$B$17,MATCH(C1170,02_Parâmetros!$A$14:$A$17,0)),"")</f>
        <v>240</v>
      </c>
      <c r="N1170" s="2" t="str">
        <f aca="false">IF(OR(H1170="",M1170=""),"",IF(H1170&lt;=M1170,"Sim","Não"))</f>
        <v>Sim</v>
      </c>
    </row>
    <row r="1171" customFormat="false" ht="15" hidden="false" customHeight="false" outlineLevel="0" collapsed="false">
      <c r="A1171" s="2" t="s">
        <v>1208</v>
      </c>
      <c r="B1171" s="3" t="n">
        <v>46324</v>
      </c>
      <c r="C1171" s="2" t="s">
        <v>15</v>
      </c>
      <c r="D1171" s="2" t="s">
        <v>16</v>
      </c>
      <c r="E1171" s="2" t="s">
        <v>17</v>
      </c>
      <c r="F1171" s="2" t="s">
        <v>32</v>
      </c>
      <c r="G1171" s="2" t="s">
        <v>19</v>
      </c>
      <c r="H1171" s="2" t="n">
        <v>0.6</v>
      </c>
      <c r="I1171" s="2" t="n">
        <v>10.4</v>
      </c>
      <c r="J1171" s="2" t="s">
        <v>20</v>
      </c>
      <c r="K1171" s="2" t="n">
        <v>4</v>
      </c>
      <c r="L1171" s="3" t="n">
        <f aca="false">B1171-WEEKDAY(B1171,2)+1</f>
        <v>46321</v>
      </c>
      <c r="M1171" s="4" t="n">
        <f aca="false">IFERROR(INDEX(02_Parâmetros!$B$14:$B$17,MATCH(C1171,02_Parâmetros!$A$14:$A$17,0)),"")</f>
        <v>1</v>
      </c>
      <c r="N1171" s="2" t="str">
        <f aca="false">IF(OR(H1171="",M1171=""),"",IF(H1171&lt;=M1171,"Sim","Não"))</f>
        <v>Sim</v>
      </c>
    </row>
    <row r="1172" customFormat="false" ht="15" hidden="false" customHeight="false" outlineLevel="0" collapsed="false">
      <c r="A1172" s="2" t="s">
        <v>1209</v>
      </c>
      <c r="B1172" s="3" t="n">
        <v>46324</v>
      </c>
      <c r="C1172" s="2" t="s">
        <v>15</v>
      </c>
      <c r="D1172" s="2" t="s">
        <v>22</v>
      </c>
      <c r="E1172" s="2" t="s">
        <v>28</v>
      </c>
      <c r="F1172" s="2" t="s">
        <v>34</v>
      </c>
      <c r="G1172" s="2" t="s">
        <v>19</v>
      </c>
      <c r="H1172" s="2" t="n">
        <v>0.8</v>
      </c>
      <c r="I1172" s="2" t="n">
        <v>12</v>
      </c>
      <c r="J1172" s="2" t="s">
        <v>20</v>
      </c>
      <c r="K1172" s="2"/>
      <c r="L1172" s="3" t="n">
        <f aca="false">B1172-WEEKDAY(B1172,2)+1</f>
        <v>46321</v>
      </c>
      <c r="M1172" s="4" t="n">
        <f aca="false">IFERROR(INDEX(02_Parâmetros!$B$14:$B$17,MATCH(C1172,02_Parâmetros!$A$14:$A$17,0)),"")</f>
        <v>1</v>
      </c>
      <c r="N1172" s="2" t="str">
        <f aca="false">IF(OR(H1172="",M1172=""),"",IF(H1172&lt;=M1172,"Sim","Não"))</f>
        <v>Sim</v>
      </c>
    </row>
    <row r="1173" customFormat="false" ht="15" hidden="false" customHeight="false" outlineLevel="0" collapsed="false">
      <c r="A1173" s="2" t="s">
        <v>1210</v>
      </c>
      <c r="B1173" s="3" t="n">
        <v>46324</v>
      </c>
      <c r="C1173" s="2" t="s">
        <v>41</v>
      </c>
      <c r="D1173" s="2" t="s">
        <v>38</v>
      </c>
      <c r="E1173" s="2" t="s">
        <v>47</v>
      </c>
      <c r="F1173" s="2" t="s">
        <v>34</v>
      </c>
      <c r="G1173" s="2" t="s">
        <v>19</v>
      </c>
      <c r="H1173" s="2" t="n">
        <v>589.6</v>
      </c>
      <c r="I1173" s="2" t="n">
        <v>7.1</v>
      </c>
      <c r="J1173" s="2" t="s">
        <v>20</v>
      </c>
      <c r="K1173" s="2"/>
      <c r="L1173" s="3" t="n">
        <f aca="false">B1173-WEEKDAY(B1173,2)+1</f>
        <v>46321</v>
      </c>
      <c r="M1173" s="4" t="n">
        <f aca="false">IFERROR(INDEX(02_Parâmetros!$B$14:$B$17,MATCH(C1173,02_Parâmetros!$A$14:$A$17,0)),"")</f>
        <v>240</v>
      </c>
      <c r="N1173" s="2" t="str">
        <f aca="false">IF(OR(H1173="",M1173=""),"",IF(H1173&lt;=M1173,"Sim","Não"))</f>
        <v>Não</v>
      </c>
    </row>
    <row r="1174" customFormat="false" ht="15" hidden="false" customHeight="false" outlineLevel="0" collapsed="false">
      <c r="A1174" s="2" t="s">
        <v>1211</v>
      </c>
      <c r="B1174" s="3" t="n">
        <v>46324</v>
      </c>
      <c r="C1174" s="2" t="s">
        <v>44</v>
      </c>
      <c r="D1174" s="2" t="s">
        <v>16</v>
      </c>
      <c r="E1174" s="2" t="s">
        <v>31</v>
      </c>
      <c r="F1174" s="2" t="s">
        <v>18</v>
      </c>
      <c r="G1174" s="2" t="s">
        <v>19</v>
      </c>
      <c r="H1174" s="2" t="n">
        <v>1.5</v>
      </c>
      <c r="I1174" s="2" t="n">
        <v>7.2</v>
      </c>
      <c r="J1174" s="2" t="s">
        <v>20</v>
      </c>
      <c r="K1174" s="2"/>
      <c r="L1174" s="3" t="n">
        <f aca="false">B1174-WEEKDAY(B1174,2)+1</f>
        <v>46321</v>
      </c>
      <c r="M1174" s="4" t="n">
        <f aca="false">IFERROR(INDEX(02_Parâmetros!$B$14:$B$17,MATCH(C1174,02_Parâmetros!$A$14:$A$17,0)),"")</f>
        <v>2</v>
      </c>
      <c r="N1174" s="2" t="str">
        <f aca="false">IF(OR(H1174="",M1174=""),"",IF(H1174&lt;=M1174,"Sim","Não"))</f>
        <v>Sim</v>
      </c>
    </row>
    <row r="1175" customFormat="false" ht="15" hidden="false" customHeight="false" outlineLevel="0" collapsed="false">
      <c r="A1175" s="2" t="s">
        <v>1212</v>
      </c>
      <c r="B1175" s="3" t="n">
        <v>46324</v>
      </c>
      <c r="C1175" s="2" t="s">
        <v>44</v>
      </c>
      <c r="D1175" s="2" t="s">
        <v>16</v>
      </c>
      <c r="E1175" s="2" t="s">
        <v>36</v>
      </c>
      <c r="F1175" s="2" t="s">
        <v>18</v>
      </c>
      <c r="G1175" s="2" t="s">
        <v>19</v>
      </c>
      <c r="H1175" s="2" t="n">
        <v>1.3</v>
      </c>
      <c r="I1175" s="2" t="n">
        <v>8.6</v>
      </c>
      <c r="J1175" s="2" t="s">
        <v>20</v>
      </c>
      <c r="K1175" s="2" t="n">
        <v>4</v>
      </c>
      <c r="L1175" s="3" t="n">
        <f aca="false">B1175-WEEKDAY(B1175,2)+1</f>
        <v>46321</v>
      </c>
      <c r="M1175" s="4" t="n">
        <f aca="false">IFERROR(INDEX(02_Parâmetros!$B$14:$B$17,MATCH(C1175,02_Parâmetros!$A$14:$A$17,0)),"")</f>
        <v>2</v>
      </c>
      <c r="N1175" s="2" t="str">
        <f aca="false">IF(OR(H1175="",M1175=""),"",IF(H1175&lt;=M1175,"Sim","Não"))</f>
        <v>Sim</v>
      </c>
    </row>
    <row r="1176" customFormat="false" ht="15" hidden="false" customHeight="false" outlineLevel="0" collapsed="false">
      <c r="A1176" s="2" t="s">
        <v>1213</v>
      </c>
      <c r="B1176" s="3" t="n">
        <v>46324</v>
      </c>
      <c r="C1176" s="2" t="s">
        <v>41</v>
      </c>
      <c r="D1176" s="2" t="s">
        <v>22</v>
      </c>
      <c r="E1176" s="2" t="s">
        <v>28</v>
      </c>
      <c r="F1176" s="2" t="s">
        <v>18</v>
      </c>
      <c r="G1176" s="2" t="s">
        <v>78</v>
      </c>
      <c r="H1176" s="2" t="n">
        <v>130.4</v>
      </c>
      <c r="I1176" s="2" t="n">
        <v>13.3</v>
      </c>
      <c r="J1176" s="2"/>
      <c r="K1176" s="2" t="n">
        <v>5</v>
      </c>
      <c r="L1176" s="3" t="n">
        <f aca="false">B1176-WEEKDAY(B1176,2)+1</f>
        <v>46321</v>
      </c>
      <c r="M1176" s="4" t="n">
        <f aca="false">IFERROR(INDEX(02_Parâmetros!$B$14:$B$17,MATCH(C1176,02_Parâmetros!$A$14:$A$17,0)),"")</f>
        <v>240</v>
      </c>
      <c r="N1176" s="2" t="str">
        <f aca="false">IF(OR(H1176="",M1176=""),"",IF(H1176&lt;=M1176,"Sim","Não"))</f>
        <v>Sim</v>
      </c>
    </row>
    <row r="1177" customFormat="false" ht="15" hidden="false" customHeight="false" outlineLevel="0" collapsed="false">
      <c r="A1177" s="2" t="s">
        <v>1214</v>
      </c>
      <c r="B1177" s="3" t="n">
        <v>46324</v>
      </c>
      <c r="C1177" s="2" t="s">
        <v>15</v>
      </c>
      <c r="D1177" s="2" t="s">
        <v>38</v>
      </c>
      <c r="E1177" s="2" t="s">
        <v>56</v>
      </c>
      <c r="F1177" s="2" t="s">
        <v>42</v>
      </c>
      <c r="G1177" s="2" t="s">
        <v>19</v>
      </c>
      <c r="H1177" s="2"/>
      <c r="I1177" s="2" t="n">
        <v>10.2</v>
      </c>
      <c r="J1177" s="2" t="s">
        <v>20</v>
      </c>
      <c r="K1177" s="2" t="n">
        <v>4</v>
      </c>
      <c r="L1177" s="3" t="n">
        <f aca="false">B1177-WEEKDAY(B1177,2)+1</f>
        <v>46321</v>
      </c>
      <c r="M1177" s="4" t="n">
        <f aca="false">IFERROR(INDEX(02_Parâmetros!$B$14:$B$17,MATCH(C1177,02_Parâmetros!$A$14:$A$17,0)),"")</f>
        <v>1</v>
      </c>
      <c r="N1177" s="2" t="str">
        <f aca="false">IF(OR(H1177="",M1177=""),"",IF(H1177&lt;=M1177,"Sim","Não"))</f>
        <v/>
      </c>
    </row>
    <row r="1178" customFormat="false" ht="15" hidden="false" customHeight="false" outlineLevel="0" collapsed="false">
      <c r="A1178" s="2" t="s">
        <v>1215</v>
      </c>
      <c r="B1178" s="3" t="n">
        <v>46324</v>
      </c>
      <c r="C1178" s="2" t="s">
        <v>27</v>
      </c>
      <c r="D1178" s="2" t="s">
        <v>16</v>
      </c>
      <c r="E1178" s="2" t="s">
        <v>17</v>
      </c>
      <c r="F1178" s="2" t="s">
        <v>32</v>
      </c>
      <c r="G1178" s="2" t="s">
        <v>19</v>
      </c>
      <c r="H1178" s="2" t="n">
        <v>5.7</v>
      </c>
      <c r="I1178" s="2" t="n">
        <v>6.1</v>
      </c>
      <c r="J1178" s="2" t="s">
        <v>20</v>
      </c>
      <c r="K1178" s="2" t="n">
        <v>5</v>
      </c>
      <c r="L1178" s="3" t="n">
        <f aca="false">B1178-WEEKDAY(B1178,2)+1</f>
        <v>46321</v>
      </c>
      <c r="M1178" s="4" t="n">
        <f aca="false">IFERROR(INDEX(02_Parâmetros!$B$14:$B$17,MATCH(C1178,02_Parâmetros!$A$14:$A$17,0)),"")</f>
        <v>10</v>
      </c>
      <c r="N1178" s="2" t="str">
        <f aca="false">IF(OR(H1178="",M1178=""),"",IF(H1178&lt;=M1178,"Sim","Não"))</f>
        <v>Sim</v>
      </c>
    </row>
    <row r="1179" customFormat="false" ht="15" hidden="false" customHeight="false" outlineLevel="0" collapsed="false">
      <c r="A1179" s="2" t="s">
        <v>1216</v>
      </c>
      <c r="B1179" s="3" t="n">
        <v>46324</v>
      </c>
      <c r="C1179" s="2" t="s">
        <v>44</v>
      </c>
      <c r="D1179" s="2" t="s">
        <v>38</v>
      </c>
      <c r="E1179" s="2" t="s">
        <v>56</v>
      </c>
      <c r="F1179" s="2" t="s">
        <v>70</v>
      </c>
      <c r="G1179" s="2" t="s">
        <v>19</v>
      </c>
      <c r="H1179" s="2" t="n">
        <v>0.9</v>
      </c>
      <c r="I1179" s="2" t="n">
        <v>8</v>
      </c>
      <c r="J1179" s="2" t="s">
        <v>20</v>
      </c>
      <c r="K1179" s="2"/>
      <c r="L1179" s="3" t="n">
        <f aca="false">B1179-WEEKDAY(B1179,2)+1</f>
        <v>46321</v>
      </c>
      <c r="M1179" s="4" t="n">
        <f aca="false">IFERROR(INDEX(02_Parâmetros!$B$14:$B$17,MATCH(C1179,02_Parâmetros!$A$14:$A$17,0)),"")</f>
        <v>2</v>
      </c>
      <c r="N1179" s="2" t="str">
        <f aca="false">IF(OR(H1179="",M1179=""),"",IF(H1179&lt;=M1179,"Sim","Não"))</f>
        <v>Sim</v>
      </c>
    </row>
    <row r="1180" customFormat="false" ht="15" hidden="false" customHeight="false" outlineLevel="0" collapsed="false">
      <c r="A1180" s="2" t="s">
        <v>1217</v>
      </c>
      <c r="B1180" s="3" t="n">
        <v>46325</v>
      </c>
      <c r="C1180" s="2" t="s">
        <v>27</v>
      </c>
      <c r="D1180" s="2" t="s">
        <v>16</v>
      </c>
      <c r="E1180" s="2" t="s">
        <v>31</v>
      </c>
      <c r="F1180" s="2" t="s">
        <v>42</v>
      </c>
      <c r="G1180" s="2" t="s">
        <v>19</v>
      </c>
      <c r="H1180" s="2" t="n">
        <v>5</v>
      </c>
      <c r="I1180" s="2" t="n">
        <v>6.6</v>
      </c>
      <c r="J1180" s="2" t="s">
        <v>20</v>
      </c>
      <c r="K1180" s="2"/>
      <c r="L1180" s="3" t="n">
        <f aca="false">B1180-WEEKDAY(B1180,2)+1</f>
        <v>46321</v>
      </c>
      <c r="M1180" s="4" t="n">
        <f aca="false">IFERROR(INDEX(02_Parâmetros!$B$14:$B$17,MATCH(C1180,02_Parâmetros!$A$14:$A$17,0)),"")</f>
        <v>10</v>
      </c>
      <c r="N1180" s="2" t="str">
        <f aca="false">IF(OR(H1180="",M1180=""),"",IF(H1180&lt;=M1180,"Sim","Não"))</f>
        <v>Sim</v>
      </c>
    </row>
    <row r="1181" customFormat="false" ht="15" hidden="false" customHeight="false" outlineLevel="0" collapsed="false">
      <c r="A1181" s="2" t="s">
        <v>1218</v>
      </c>
      <c r="B1181" s="3" t="n">
        <v>46325</v>
      </c>
      <c r="C1181" s="2" t="s">
        <v>44</v>
      </c>
      <c r="D1181" s="2" t="s">
        <v>38</v>
      </c>
      <c r="E1181" s="2" t="s">
        <v>39</v>
      </c>
      <c r="F1181" s="2" t="s">
        <v>24</v>
      </c>
      <c r="G1181" s="2" t="s">
        <v>19</v>
      </c>
      <c r="H1181" s="2" t="n">
        <v>1.1</v>
      </c>
      <c r="I1181" s="2" t="n">
        <v>9.3</v>
      </c>
      <c r="J1181" s="2" t="s">
        <v>20</v>
      </c>
      <c r="K1181" s="2" t="n">
        <v>4</v>
      </c>
      <c r="L1181" s="3" t="n">
        <f aca="false">B1181-WEEKDAY(B1181,2)+1</f>
        <v>46321</v>
      </c>
      <c r="M1181" s="4" t="n">
        <f aca="false">IFERROR(INDEX(02_Parâmetros!$B$14:$B$17,MATCH(C1181,02_Parâmetros!$A$14:$A$17,0)),"")</f>
        <v>2</v>
      </c>
      <c r="N1181" s="2" t="str">
        <f aca="false">IF(OR(H1181="",M1181=""),"",IF(H1181&lt;=M1181,"Sim","Não"))</f>
        <v>Sim</v>
      </c>
    </row>
    <row r="1182" customFormat="false" ht="15" hidden="false" customHeight="false" outlineLevel="0" collapsed="false">
      <c r="A1182" s="2" t="s">
        <v>1219</v>
      </c>
      <c r="B1182" s="3" t="n">
        <v>46325</v>
      </c>
      <c r="C1182" s="2" t="s">
        <v>44</v>
      </c>
      <c r="D1182" s="2" t="s">
        <v>38</v>
      </c>
      <c r="E1182" s="2" t="s">
        <v>39</v>
      </c>
      <c r="F1182" s="2" t="s">
        <v>70</v>
      </c>
      <c r="G1182" s="2" t="s">
        <v>78</v>
      </c>
      <c r="H1182" s="2" t="n">
        <v>1.9</v>
      </c>
      <c r="I1182" s="2" t="n">
        <v>11.6</v>
      </c>
      <c r="J1182" s="2"/>
      <c r="K1182" s="2"/>
      <c r="L1182" s="3" t="n">
        <f aca="false">B1182-WEEKDAY(B1182,2)+1</f>
        <v>46321</v>
      </c>
      <c r="M1182" s="4" t="n">
        <f aca="false">IFERROR(INDEX(02_Parâmetros!$B$14:$B$17,MATCH(C1182,02_Parâmetros!$A$14:$A$17,0)),"")</f>
        <v>2</v>
      </c>
      <c r="N1182" s="2" t="str">
        <f aca="false">IF(OR(H1182="",M1182=""),"",IF(H1182&lt;=M1182,"Sim","Não"))</f>
        <v>Sim</v>
      </c>
    </row>
    <row r="1183" customFormat="false" ht="15" hidden="false" customHeight="false" outlineLevel="0" collapsed="false">
      <c r="A1183" s="2" t="s">
        <v>1220</v>
      </c>
      <c r="B1183" s="3" t="n">
        <v>46325</v>
      </c>
      <c r="C1183" s="2" t="s">
        <v>27</v>
      </c>
      <c r="D1183" s="2" t="s">
        <v>16</v>
      </c>
      <c r="E1183" s="2" t="s">
        <v>17</v>
      </c>
      <c r="F1183" s="2" t="s">
        <v>32</v>
      </c>
      <c r="G1183" s="2" t="s">
        <v>78</v>
      </c>
      <c r="H1183" s="2" t="n">
        <v>5.9</v>
      </c>
      <c r="I1183" s="2" t="n">
        <v>8</v>
      </c>
      <c r="J1183" s="2"/>
      <c r="K1183" s="2" t="n">
        <v>4</v>
      </c>
      <c r="L1183" s="3" t="n">
        <f aca="false">B1183-WEEKDAY(B1183,2)+1</f>
        <v>46321</v>
      </c>
      <c r="M1183" s="4" t="n">
        <f aca="false">IFERROR(INDEX(02_Parâmetros!$B$14:$B$17,MATCH(C1183,02_Parâmetros!$A$14:$A$17,0)),"")</f>
        <v>10</v>
      </c>
      <c r="N1183" s="2" t="str">
        <f aca="false">IF(OR(H1183="",M1183=""),"",IF(H1183&lt;=M1183,"Sim","Não"))</f>
        <v>Sim</v>
      </c>
    </row>
    <row r="1184" customFormat="false" ht="15" hidden="false" customHeight="false" outlineLevel="0" collapsed="false">
      <c r="A1184" s="2" t="s">
        <v>1221</v>
      </c>
      <c r="B1184" s="3" t="n">
        <v>46325</v>
      </c>
      <c r="C1184" s="2" t="s">
        <v>44</v>
      </c>
      <c r="D1184" s="2" t="s">
        <v>38</v>
      </c>
      <c r="E1184" s="2" t="s">
        <v>47</v>
      </c>
      <c r="F1184" s="2" t="s">
        <v>42</v>
      </c>
      <c r="G1184" s="2" t="s">
        <v>19</v>
      </c>
      <c r="H1184" s="2" t="n">
        <v>1</v>
      </c>
      <c r="I1184" s="2" t="n">
        <v>7.6</v>
      </c>
      <c r="J1184" s="2" t="s">
        <v>20</v>
      </c>
      <c r="K1184" s="2" t="n">
        <v>4</v>
      </c>
      <c r="L1184" s="3" t="n">
        <f aca="false">B1184-WEEKDAY(B1184,2)+1</f>
        <v>46321</v>
      </c>
      <c r="M1184" s="4" t="n">
        <f aca="false">IFERROR(INDEX(02_Parâmetros!$B$14:$B$17,MATCH(C1184,02_Parâmetros!$A$14:$A$17,0)),"")</f>
        <v>2</v>
      </c>
      <c r="N1184" s="2" t="str">
        <f aca="false">IF(OR(H1184="",M1184=""),"",IF(H1184&lt;=M1184,"Sim","Não"))</f>
        <v>Sim</v>
      </c>
    </row>
    <row r="1185" customFormat="false" ht="15" hidden="false" customHeight="false" outlineLevel="0" collapsed="false">
      <c r="A1185" s="2" t="s">
        <v>1222</v>
      </c>
      <c r="B1185" s="3" t="n">
        <v>46325</v>
      </c>
      <c r="C1185" s="2" t="s">
        <v>27</v>
      </c>
      <c r="D1185" s="2" t="s">
        <v>16</v>
      </c>
      <c r="E1185" s="2" t="s">
        <v>17</v>
      </c>
      <c r="F1185" s="2" t="s">
        <v>18</v>
      </c>
      <c r="G1185" s="2" t="s">
        <v>19</v>
      </c>
      <c r="H1185" s="2" t="n">
        <v>21.2</v>
      </c>
      <c r="I1185" s="2" t="n">
        <v>12.7</v>
      </c>
      <c r="J1185" s="2" t="s">
        <v>20</v>
      </c>
      <c r="K1185" s="2"/>
      <c r="L1185" s="3" t="n">
        <f aca="false">B1185-WEEKDAY(B1185,2)+1</f>
        <v>46321</v>
      </c>
      <c r="M1185" s="4" t="n">
        <f aca="false">IFERROR(INDEX(02_Parâmetros!$B$14:$B$17,MATCH(C1185,02_Parâmetros!$A$14:$A$17,0)),"")</f>
        <v>10</v>
      </c>
      <c r="N1185" s="2" t="str">
        <f aca="false">IF(OR(H1185="",M1185=""),"",IF(H1185&lt;=M1185,"Sim","Não"))</f>
        <v>Não</v>
      </c>
    </row>
    <row r="1186" customFormat="false" ht="15" hidden="false" customHeight="false" outlineLevel="0" collapsed="false">
      <c r="A1186" s="2" t="s">
        <v>1223</v>
      </c>
      <c r="B1186" s="3" t="n">
        <v>46325</v>
      </c>
      <c r="C1186" s="2" t="s">
        <v>44</v>
      </c>
      <c r="D1186" s="2" t="s">
        <v>16</v>
      </c>
      <c r="E1186" s="2" t="s">
        <v>36</v>
      </c>
      <c r="F1186" s="2" t="s">
        <v>18</v>
      </c>
      <c r="G1186" s="2" t="s">
        <v>19</v>
      </c>
      <c r="H1186" s="2" t="n">
        <v>0.5</v>
      </c>
      <c r="I1186" s="2" t="n">
        <v>6.9</v>
      </c>
      <c r="J1186" s="2" t="s">
        <v>25</v>
      </c>
      <c r="K1186" s="2"/>
      <c r="L1186" s="3" t="n">
        <f aca="false">B1186-WEEKDAY(B1186,2)+1</f>
        <v>46321</v>
      </c>
      <c r="M1186" s="4" t="n">
        <f aca="false">IFERROR(INDEX(02_Parâmetros!$B$14:$B$17,MATCH(C1186,02_Parâmetros!$A$14:$A$17,0)),"")</f>
        <v>2</v>
      </c>
      <c r="N1186" s="2" t="str">
        <f aca="false">IF(OR(H1186="",M1186=""),"",IF(H1186&lt;=M1186,"Sim","Não"))</f>
        <v>Sim</v>
      </c>
    </row>
    <row r="1187" customFormat="false" ht="15" hidden="false" customHeight="false" outlineLevel="0" collapsed="false">
      <c r="A1187" s="2" t="s">
        <v>1224</v>
      </c>
      <c r="B1187" s="3" t="n">
        <v>46325</v>
      </c>
      <c r="C1187" s="2" t="s">
        <v>15</v>
      </c>
      <c r="D1187" s="2" t="s">
        <v>22</v>
      </c>
      <c r="E1187" s="2" t="s">
        <v>28</v>
      </c>
      <c r="F1187" s="2" t="s">
        <v>32</v>
      </c>
      <c r="G1187" s="2" t="s">
        <v>78</v>
      </c>
      <c r="H1187" s="2" t="n">
        <v>0.9</v>
      </c>
      <c r="I1187" s="2" t="n">
        <v>10.3</v>
      </c>
      <c r="J1187" s="2"/>
      <c r="K1187" s="2"/>
      <c r="L1187" s="3" t="n">
        <f aca="false">B1187-WEEKDAY(B1187,2)+1</f>
        <v>46321</v>
      </c>
      <c r="M1187" s="4" t="n">
        <f aca="false">IFERROR(INDEX(02_Parâmetros!$B$14:$B$17,MATCH(C1187,02_Parâmetros!$A$14:$A$17,0)),"")</f>
        <v>1</v>
      </c>
      <c r="N1187" s="2" t="str">
        <f aca="false">IF(OR(H1187="",M1187=""),"",IF(H1187&lt;=M1187,"Sim","Não"))</f>
        <v>Sim</v>
      </c>
    </row>
    <row r="1188" customFormat="false" ht="15" hidden="false" customHeight="false" outlineLevel="0" collapsed="false">
      <c r="A1188" s="2" t="s">
        <v>1225</v>
      </c>
      <c r="B1188" s="3" t="n">
        <v>46325</v>
      </c>
      <c r="C1188" s="2" t="s">
        <v>41</v>
      </c>
      <c r="D1188" s="2" t="s">
        <v>22</v>
      </c>
      <c r="E1188" s="2" t="s">
        <v>28</v>
      </c>
      <c r="F1188" s="2" t="s">
        <v>18</v>
      </c>
      <c r="G1188" s="2" t="s">
        <v>19</v>
      </c>
      <c r="H1188" s="2"/>
      <c r="I1188" s="2" t="n">
        <v>12</v>
      </c>
      <c r="J1188" s="2" t="s">
        <v>20</v>
      </c>
      <c r="K1188" s="2"/>
      <c r="L1188" s="3" t="n">
        <f aca="false">B1188-WEEKDAY(B1188,2)+1</f>
        <v>46321</v>
      </c>
      <c r="M1188" s="4" t="n">
        <f aca="false">IFERROR(INDEX(02_Parâmetros!$B$14:$B$17,MATCH(C1188,02_Parâmetros!$A$14:$A$17,0)),"")</f>
        <v>240</v>
      </c>
      <c r="N1188" s="2" t="str">
        <f aca="false">IF(OR(H1188="",M1188=""),"",IF(H1188&lt;=M1188,"Sim","Não"))</f>
        <v/>
      </c>
    </row>
    <row r="1189" customFormat="false" ht="15" hidden="false" customHeight="false" outlineLevel="0" collapsed="false">
      <c r="A1189" s="2" t="s">
        <v>1226</v>
      </c>
      <c r="B1189" s="3" t="n">
        <v>46325</v>
      </c>
      <c r="C1189" s="2" t="s">
        <v>41</v>
      </c>
      <c r="D1189" s="2" t="s">
        <v>22</v>
      </c>
      <c r="E1189" s="2" t="s">
        <v>28</v>
      </c>
      <c r="F1189" s="2" t="s">
        <v>42</v>
      </c>
      <c r="G1189" s="2" t="s">
        <v>19</v>
      </c>
      <c r="H1189" s="2" t="n">
        <v>152.4</v>
      </c>
      <c r="I1189" s="2" t="n">
        <v>7.5</v>
      </c>
      <c r="J1189" s="2" t="s">
        <v>25</v>
      </c>
      <c r="K1189" s="2" t="n">
        <v>3</v>
      </c>
      <c r="L1189" s="3" t="n">
        <f aca="false">B1189-WEEKDAY(B1189,2)+1</f>
        <v>46321</v>
      </c>
      <c r="M1189" s="4" t="n">
        <f aca="false">IFERROR(INDEX(02_Parâmetros!$B$14:$B$17,MATCH(C1189,02_Parâmetros!$A$14:$A$17,0)),"")</f>
        <v>240</v>
      </c>
      <c r="N1189" s="2" t="str">
        <f aca="false">IF(OR(H1189="",M1189=""),"",IF(H1189&lt;=M1189,"Sim","Não"))</f>
        <v>Sim</v>
      </c>
    </row>
    <row r="1190" customFormat="false" ht="15" hidden="false" customHeight="false" outlineLevel="0" collapsed="false">
      <c r="A1190" s="2" t="s">
        <v>1227</v>
      </c>
      <c r="B1190" s="3" t="n">
        <v>46325</v>
      </c>
      <c r="C1190" s="2" t="s">
        <v>27</v>
      </c>
      <c r="D1190" s="2" t="s">
        <v>38</v>
      </c>
      <c r="E1190" s="2" t="s">
        <v>39</v>
      </c>
      <c r="F1190" s="2" t="s">
        <v>42</v>
      </c>
      <c r="G1190" s="2" t="s">
        <v>78</v>
      </c>
      <c r="H1190" s="2" t="n">
        <v>8.4</v>
      </c>
      <c r="I1190" s="2" t="n">
        <v>10.3</v>
      </c>
      <c r="J1190" s="2"/>
      <c r="K1190" s="2"/>
      <c r="L1190" s="3" t="n">
        <f aca="false">B1190-WEEKDAY(B1190,2)+1</f>
        <v>46321</v>
      </c>
      <c r="M1190" s="4" t="n">
        <f aca="false">IFERROR(INDEX(02_Parâmetros!$B$14:$B$17,MATCH(C1190,02_Parâmetros!$A$14:$A$17,0)),"")</f>
        <v>10</v>
      </c>
      <c r="N1190" s="2" t="str">
        <f aca="false">IF(OR(H1190="",M1190=""),"",IF(H1190&lt;=M1190,"Sim","Não"))</f>
        <v>Sim</v>
      </c>
    </row>
    <row r="1191" customFormat="false" ht="15" hidden="false" customHeight="false" outlineLevel="0" collapsed="false">
      <c r="A1191" s="2" t="s">
        <v>1228</v>
      </c>
      <c r="B1191" s="3" t="n">
        <v>46325</v>
      </c>
      <c r="C1191" s="2" t="s">
        <v>41</v>
      </c>
      <c r="D1191" s="2" t="s">
        <v>38</v>
      </c>
      <c r="E1191" s="2" t="s">
        <v>39</v>
      </c>
      <c r="F1191" s="2" t="s">
        <v>32</v>
      </c>
      <c r="G1191" s="2" t="s">
        <v>19</v>
      </c>
      <c r="H1191" s="2" t="n">
        <v>199.8</v>
      </c>
      <c r="I1191" s="2" t="n">
        <v>11.6</v>
      </c>
      <c r="J1191" s="2" t="s">
        <v>20</v>
      </c>
      <c r="K1191" s="2" t="n">
        <v>3</v>
      </c>
      <c r="L1191" s="3" t="n">
        <f aca="false">B1191-WEEKDAY(B1191,2)+1</f>
        <v>46321</v>
      </c>
      <c r="M1191" s="4" t="n">
        <f aca="false">IFERROR(INDEX(02_Parâmetros!$B$14:$B$17,MATCH(C1191,02_Parâmetros!$A$14:$A$17,0)),"")</f>
        <v>240</v>
      </c>
      <c r="N1191" s="2" t="str">
        <f aca="false">IF(OR(H1191="",M1191=""),"",IF(H1191&lt;=M1191,"Sim","Não"))</f>
        <v>Sim</v>
      </c>
    </row>
    <row r="1192" customFormat="false" ht="15" hidden="false" customHeight="false" outlineLevel="0" collapsed="false">
      <c r="A1192" s="2" t="s">
        <v>1229</v>
      </c>
      <c r="B1192" s="3" t="n">
        <v>46325</v>
      </c>
      <c r="C1192" s="2" t="s">
        <v>44</v>
      </c>
      <c r="D1192" s="2" t="s">
        <v>38</v>
      </c>
      <c r="E1192" s="2" t="s">
        <v>47</v>
      </c>
      <c r="F1192" s="2" t="s">
        <v>42</v>
      </c>
      <c r="G1192" s="2" t="s">
        <v>19</v>
      </c>
      <c r="H1192" s="2" t="n">
        <v>1.6</v>
      </c>
      <c r="I1192" s="2" t="n">
        <v>9.9</v>
      </c>
      <c r="J1192" s="2" t="s">
        <v>20</v>
      </c>
      <c r="K1192" s="2" t="n">
        <v>5</v>
      </c>
      <c r="L1192" s="3" t="n">
        <f aca="false">B1192-WEEKDAY(B1192,2)+1</f>
        <v>46321</v>
      </c>
      <c r="M1192" s="4" t="n">
        <f aca="false">IFERROR(INDEX(02_Parâmetros!$B$14:$B$17,MATCH(C1192,02_Parâmetros!$A$14:$A$17,0)),"")</f>
        <v>2</v>
      </c>
      <c r="N1192" s="2" t="str">
        <f aca="false">IF(OR(H1192="",M1192=""),"",IF(H1192&lt;=M1192,"Sim","Não"))</f>
        <v>Sim</v>
      </c>
    </row>
    <row r="1193" customFormat="false" ht="15" hidden="false" customHeight="false" outlineLevel="0" collapsed="false">
      <c r="A1193" s="2" t="s">
        <v>1230</v>
      </c>
      <c r="B1193" s="3" t="n">
        <v>46325</v>
      </c>
      <c r="C1193" s="2" t="s">
        <v>15</v>
      </c>
      <c r="D1193" s="2" t="s">
        <v>38</v>
      </c>
      <c r="E1193" s="2" t="s">
        <v>56</v>
      </c>
      <c r="F1193" s="2" t="s">
        <v>32</v>
      </c>
      <c r="G1193" s="2" t="s">
        <v>19</v>
      </c>
      <c r="H1193" s="2" t="n">
        <v>0.8</v>
      </c>
      <c r="I1193" s="2" t="n">
        <v>9</v>
      </c>
      <c r="J1193" s="2" t="s">
        <v>25</v>
      </c>
      <c r="K1193" s="2" t="n">
        <v>1</v>
      </c>
      <c r="L1193" s="3" t="n">
        <f aca="false">B1193-WEEKDAY(B1193,2)+1</f>
        <v>46321</v>
      </c>
      <c r="M1193" s="4" t="n">
        <f aca="false">IFERROR(INDEX(02_Parâmetros!$B$14:$B$17,MATCH(C1193,02_Parâmetros!$A$14:$A$17,0)),"")</f>
        <v>1</v>
      </c>
      <c r="N1193" s="2" t="str">
        <f aca="false">IF(OR(H1193="",M1193=""),"",IF(H1193&lt;=M1193,"Sim","Não"))</f>
        <v>Sim</v>
      </c>
    </row>
    <row r="1194" customFormat="false" ht="15" hidden="false" customHeight="false" outlineLevel="0" collapsed="false">
      <c r="A1194" s="2" t="s">
        <v>1231</v>
      </c>
      <c r="B1194" s="3" t="n">
        <v>46325</v>
      </c>
      <c r="C1194" s="2" t="s">
        <v>44</v>
      </c>
      <c r="D1194" s="2" t="s">
        <v>16</v>
      </c>
      <c r="E1194" s="2" t="s">
        <v>31</v>
      </c>
      <c r="F1194" s="2" t="s">
        <v>18</v>
      </c>
      <c r="G1194" s="2" t="s">
        <v>19</v>
      </c>
      <c r="H1194" s="2" t="n">
        <v>1.1</v>
      </c>
      <c r="I1194" s="2" t="n">
        <v>11.5</v>
      </c>
      <c r="J1194" s="2" t="s">
        <v>25</v>
      </c>
      <c r="K1194" s="2"/>
      <c r="L1194" s="3" t="n">
        <f aca="false">B1194-WEEKDAY(B1194,2)+1</f>
        <v>46321</v>
      </c>
      <c r="M1194" s="4" t="n">
        <f aca="false">IFERROR(INDEX(02_Parâmetros!$B$14:$B$17,MATCH(C1194,02_Parâmetros!$A$14:$A$17,0)),"")</f>
        <v>2</v>
      </c>
      <c r="N1194" s="2" t="str">
        <f aca="false">IF(OR(H1194="",M1194=""),"",IF(H1194&lt;=M1194,"Sim","Não"))</f>
        <v>Sim</v>
      </c>
    </row>
    <row r="1195" customFormat="false" ht="15" hidden="false" customHeight="false" outlineLevel="0" collapsed="false">
      <c r="A1195" s="2" t="s">
        <v>1232</v>
      </c>
      <c r="B1195" s="3" t="n">
        <v>46325</v>
      </c>
      <c r="C1195" s="2" t="s">
        <v>41</v>
      </c>
      <c r="D1195" s="2" t="s">
        <v>16</v>
      </c>
      <c r="E1195" s="2" t="s">
        <v>36</v>
      </c>
      <c r="F1195" s="2" t="s">
        <v>32</v>
      </c>
      <c r="G1195" s="2" t="s">
        <v>19</v>
      </c>
      <c r="H1195" s="2" t="n">
        <v>141.6</v>
      </c>
      <c r="I1195" s="2" t="n">
        <v>8.7</v>
      </c>
      <c r="J1195" s="2" t="s">
        <v>20</v>
      </c>
      <c r="K1195" s="2"/>
      <c r="L1195" s="3" t="n">
        <f aca="false">B1195-WEEKDAY(B1195,2)+1</f>
        <v>46321</v>
      </c>
      <c r="M1195" s="4" t="n">
        <f aca="false">IFERROR(INDEX(02_Parâmetros!$B$14:$B$17,MATCH(C1195,02_Parâmetros!$A$14:$A$17,0)),"")</f>
        <v>240</v>
      </c>
      <c r="N1195" s="2" t="str">
        <f aca="false">IF(OR(H1195="",M1195=""),"",IF(H1195&lt;=M1195,"Sim","Não"))</f>
        <v>Sim</v>
      </c>
    </row>
    <row r="1196" customFormat="false" ht="15" hidden="false" customHeight="false" outlineLevel="0" collapsed="false">
      <c r="A1196" s="2" t="s">
        <v>1233</v>
      </c>
      <c r="B1196" s="3" t="n">
        <v>46325</v>
      </c>
      <c r="C1196" s="2" t="s">
        <v>44</v>
      </c>
      <c r="D1196" s="2" t="s">
        <v>16</v>
      </c>
      <c r="E1196" s="2" t="s">
        <v>31</v>
      </c>
      <c r="F1196" s="2" t="s">
        <v>18</v>
      </c>
      <c r="G1196" s="2" t="s">
        <v>19</v>
      </c>
      <c r="H1196" s="2" t="n">
        <v>1.9</v>
      </c>
      <c r="I1196" s="2" t="n">
        <v>10.9</v>
      </c>
      <c r="J1196" s="2" t="s">
        <v>20</v>
      </c>
      <c r="K1196" s="2" t="n">
        <v>4</v>
      </c>
      <c r="L1196" s="3" t="n">
        <f aca="false">B1196-WEEKDAY(B1196,2)+1</f>
        <v>46321</v>
      </c>
      <c r="M1196" s="4" t="n">
        <f aca="false">IFERROR(INDEX(02_Parâmetros!$B$14:$B$17,MATCH(C1196,02_Parâmetros!$A$14:$A$17,0)),"")</f>
        <v>2</v>
      </c>
      <c r="N1196" s="2" t="str">
        <f aca="false">IF(OR(H1196="",M1196=""),"",IF(H1196&lt;=M1196,"Sim","Não"))</f>
        <v>Sim</v>
      </c>
    </row>
    <row r="1197" customFormat="false" ht="15" hidden="false" customHeight="false" outlineLevel="0" collapsed="false">
      <c r="A1197" s="2" t="s">
        <v>1234</v>
      </c>
      <c r="B1197" s="3" t="n">
        <v>46325</v>
      </c>
      <c r="C1197" s="2" t="s">
        <v>15</v>
      </c>
      <c r="D1197" s="2" t="s">
        <v>38</v>
      </c>
      <c r="E1197" s="2" t="s">
        <v>39</v>
      </c>
      <c r="F1197" s="2" t="s">
        <v>32</v>
      </c>
      <c r="G1197" s="2" t="s">
        <v>19</v>
      </c>
      <c r="H1197" s="2" t="n">
        <v>0.4</v>
      </c>
      <c r="I1197" s="2" t="n">
        <v>9.2</v>
      </c>
      <c r="J1197" s="2" t="s">
        <v>20</v>
      </c>
      <c r="K1197" s="2" t="n">
        <v>4</v>
      </c>
      <c r="L1197" s="3" t="n">
        <f aca="false">B1197-WEEKDAY(B1197,2)+1</f>
        <v>46321</v>
      </c>
      <c r="M1197" s="4" t="n">
        <f aca="false">IFERROR(INDEX(02_Parâmetros!$B$14:$B$17,MATCH(C1197,02_Parâmetros!$A$14:$A$17,0)),"")</f>
        <v>1</v>
      </c>
      <c r="N1197" s="2" t="str">
        <f aca="false">IF(OR(H1197="",M1197=""),"",IF(H1197&lt;=M1197,"Sim","Não"))</f>
        <v>Sim</v>
      </c>
    </row>
    <row r="1198" customFormat="false" ht="15" hidden="false" customHeight="false" outlineLevel="0" collapsed="false">
      <c r="A1198" s="2" t="s">
        <v>1235</v>
      </c>
      <c r="B1198" s="3" t="n">
        <v>46325</v>
      </c>
      <c r="C1198" s="2" t="s">
        <v>15</v>
      </c>
      <c r="D1198" s="2" t="s">
        <v>16</v>
      </c>
      <c r="E1198" s="2" t="s">
        <v>36</v>
      </c>
      <c r="F1198" s="2" t="s">
        <v>24</v>
      </c>
      <c r="G1198" s="2" t="s">
        <v>78</v>
      </c>
      <c r="H1198" s="2" t="n">
        <v>0.6</v>
      </c>
      <c r="I1198" s="2" t="n">
        <v>18.4</v>
      </c>
      <c r="J1198" s="2"/>
      <c r="K1198" s="2"/>
      <c r="L1198" s="3" t="n">
        <f aca="false">B1198-WEEKDAY(B1198,2)+1</f>
        <v>46321</v>
      </c>
      <c r="M1198" s="4" t="n">
        <f aca="false">IFERROR(INDEX(02_Parâmetros!$B$14:$B$17,MATCH(C1198,02_Parâmetros!$A$14:$A$17,0)),"")</f>
        <v>1</v>
      </c>
      <c r="N1198" s="2" t="str">
        <f aca="false">IF(OR(H1198="",M1198=""),"",IF(H1198&lt;=M1198,"Sim","Não"))</f>
        <v>Sim</v>
      </c>
    </row>
    <row r="1199" customFormat="false" ht="15" hidden="false" customHeight="false" outlineLevel="0" collapsed="false">
      <c r="A1199" s="2" t="s">
        <v>1236</v>
      </c>
      <c r="B1199" s="3" t="n">
        <v>46325</v>
      </c>
      <c r="C1199" s="2" t="s">
        <v>27</v>
      </c>
      <c r="D1199" s="2" t="s">
        <v>38</v>
      </c>
      <c r="E1199" s="2" t="s">
        <v>39</v>
      </c>
      <c r="F1199" s="2" t="s">
        <v>32</v>
      </c>
      <c r="G1199" s="2" t="s">
        <v>19</v>
      </c>
      <c r="H1199" s="2" t="n">
        <v>2.7</v>
      </c>
      <c r="I1199" s="2" t="n">
        <v>7.7</v>
      </c>
      <c r="J1199" s="2" t="s">
        <v>20</v>
      </c>
      <c r="K1199" s="2" t="n">
        <v>4</v>
      </c>
      <c r="L1199" s="3" t="n">
        <f aca="false">B1199-WEEKDAY(B1199,2)+1</f>
        <v>46321</v>
      </c>
      <c r="M1199" s="4" t="n">
        <f aca="false">IFERROR(INDEX(02_Parâmetros!$B$14:$B$17,MATCH(C1199,02_Parâmetros!$A$14:$A$17,0)),"")</f>
        <v>10</v>
      </c>
      <c r="N1199" s="2" t="str">
        <f aca="false">IF(OR(H1199="",M1199=""),"",IF(H1199&lt;=M1199,"Sim","Não"))</f>
        <v>Sim</v>
      </c>
    </row>
    <row r="1200" customFormat="false" ht="15" hidden="false" customHeight="false" outlineLevel="0" collapsed="false">
      <c r="A1200" s="2" t="s">
        <v>1237</v>
      </c>
      <c r="B1200" s="3" t="n">
        <v>46325</v>
      </c>
      <c r="C1200" s="2" t="s">
        <v>27</v>
      </c>
      <c r="D1200" s="2" t="s">
        <v>22</v>
      </c>
      <c r="E1200" s="2" t="s">
        <v>23</v>
      </c>
      <c r="F1200" s="2" t="s">
        <v>70</v>
      </c>
      <c r="G1200" s="2" t="s">
        <v>19</v>
      </c>
      <c r="H1200" s="2"/>
      <c r="I1200" s="2" t="n">
        <v>7.6</v>
      </c>
      <c r="J1200" s="2" t="s">
        <v>20</v>
      </c>
      <c r="K1200" s="2"/>
      <c r="L1200" s="3" t="n">
        <f aca="false">B1200-WEEKDAY(B1200,2)+1</f>
        <v>46321</v>
      </c>
      <c r="M1200" s="4" t="n">
        <f aca="false">IFERROR(INDEX(02_Parâmetros!$B$14:$B$17,MATCH(C1200,02_Parâmetros!$A$14:$A$17,0)),"")</f>
        <v>10</v>
      </c>
      <c r="N1200" s="2" t="str">
        <f aca="false">IF(OR(H1200="",M1200=""),"",IF(H1200&lt;=M1200,"Sim","Não"))</f>
        <v/>
      </c>
    </row>
    <row r="1201" customFormat="false" ht="15" hidden="false" customHeight="false" outlineLevel="0" collapsed="false">
      <c r="A1201" s="2" t="s">
        <v>1238</v>
      </c>
      <c r="B1201" s="3" t="n">
        <v>46325</v>
      </c>
      <c r="C1201" s="2" t="s">
        <v>27</v>
      </c>
      <c r="D1201" s="2" t="s">
        <v>38</v>
      </c>
      <c r="E1201" s="2" t="s">
        <v>39</v>
      </c>
      <c r="F1201" s="2" t="s">
        <v>70</v>
      </c>
      <c r="G1201" s="2" t="s">
        <v>19</v>
      </c>
      <c r="H1201" s="2" t="n">
        <v>7.5</v>
      </c>
      <c r="I1201" s="2" t="n">
        <v>5.5</v>
      </c>
      <c r="J1201" s="2" t="s">
        <v>20</v>
      </c>
      <c r="K1201" s="2"/>
      <c r="L1201" s="3" t="n">
        <f aca="false">B1201-WEEKDAY(B1201,2)+1</f>
        <v>46321</v>
      </c>
      <c r="M1201" s="4" t="n">
        <f aca="false">IFERROR(INDEX(02_Parâmetros!$B$14:$B$17,MATCH(C1201,02_Parâmetros!$A$14:$A$17,0)),"")</f>
        <v>10</v>
      </c>
      <c r="N1201" s="2" t="str">
        <f aca="false">IF(OR(H1201="",M1201=""),"",IF(H1201&lt;=M1201,"Sim","Não"))</f>
        <v>Sim</v>
      </c>
    </row>
  </sheetData>
  <dataValidations count="7">
    <dataValidation allowBlank="true" error="Escolha um item da lista." errorStyle="stop" errorTitle="Valor inválido" operator="between" showDropDown="false" showErrorMessage="true" showInputMessage="false" sqref="C2:C1201" type="list">
      <formula1>02_Parâmetros!$A$14:$A$17</formula1>
      <formula2>0</formula2>
    </dataValidation>
    <dataValidation allowBlank="true" error="Escolha um item da lista." errorStyle="stop" errorTitle="Valor inválido" operator="between" showDropDown="false" showErrorMessage="true" showInputMessage="false" sqref="D2:D1201" type="list">
      <formula1>02_Parâmetros!$A$32:$A$34</formula1>
      <formula2>0</formula2>
    </dataValidation>
    <dataValidation allowBlank="true" error="Escolha um item da lista." errorStyle="stop" errorTitle="Valor inválido" operator="between" showDropDown="false" showErrorMessage="true" showInputMessage="false" sqref="E2:E1201" type="list">
      <formula1>02_Parâmetros!$A$21:$A$28</formula1>
      <formula2>0</formula2>
    </dataValidation>
    <dataValidation allowBlank="true" error="Escolha um item da lista." errorStyle="stop" errorTitle="Valor inválido" operator="between" showDropDown="false" showErrorMessage="true" showInputMessage="false" sqref="F2:F1201" type="list">
      <formula1>02_Parâmetros!$A$37:$A$42</formula1>
      <formula2>0</formula2>
    </dataValidation>
    <dataValidation allowBlank="true" error="Escolha um item da lista." errorStyle="stop" errorTitle="Valor inválido" operator="between" showDropDown="false" showErrorMessage="true" showInputMessage="false" sqref="G2:G1201" type="list">
      <formula1>"Resolvido,Pendente"</formula1>
      <formula2>0</formula2>
    </dataValidation>
    <dataValidation allowBlank="true" error="Escolha um item da lista." errorStyle="stop" errorTitle="Valor inválido" operator="between" showDropDown="false" showErrorMessage="true" showInputMessage="false" sqref="J2:J1201" type="list">
      <formula1>"Sim,Não"</formula1>
      <formula2>0</formula2>
    </dataValidation>
    <dataValidation allowBlank="true" error="A nota deve ser um inteiro de 1 a 5." errorStyle="stop" operator="between" showDropDown="false" showErrorMessage="true" showInputMessage="false" sqref="K2:K120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5" t="s">
        <v>1239</v>
      </c>
    </row>
    <row r="2" customFormat="false" ht="15" hidden="false" customHeight="false" outlineLevel="0" collapsed="false">
      <c r="A2" s="6" t="s">
        <v>1240</v>
      </c>
    </row>
    <row r="3" customFormat="false" ht="15" hidden="false" customHeight="false" outlineLevel="0" collapsed="false">
      <c r="A3" s="7" t="s">
        <v>1241</v>
      </c>
    </row>
    <row r="4" customFormat="false" ht="15" hidden="false" customHeight="false" outlineLevel="0" collapsed="false">
      <c r="A4" s="8" t="s">
        <v>1242</v>
      </c>
      <c r="B4" s="8" t="s">
        <v>1243</v>
      </c>
      <c r="C4" s="8" t="s">
        <v>1244</v>
      </c>
      <c r="D4" s="8" t="s">
        <v>1245</v>
      </c>
      <c r="E4" s="8" t="s">
        <v>1246</v>
      </c>
    </row>
    <row r="5" customFormat="false" ht="15" hidden="false" customHeight="false" outlineLevel="0" collapsed="false">
      <c r="A5" s="9" t="s">
        <v>1247</v>
      </c>
      <c r="B5" s="10" t="n">
        <v>0.9</v>
      </c>
      <c r="C5" s="11" t="s">
        <v>1248</v>
      </c>
      <c r="D5" s="10" t="n">
        <v>0.1</v>
      </c>
      <c r="E5" s="12" t="s">
        <v>1249</v>
      </c>
    </row>
    <row r="6" customFormat="false" ht="15" hidden="false" customHeight="false" outlineLevel="0" collapsed="false">
      <c r="A6" s="9" t="s">
        <v>1250</v>
      </c>
      <c r="B6" s="13" t="n">
        <v>9</v>
      </c>
      <c r="C6" s="11" t="s">
        <v>1248</v>
      </c>
      <c r="D6" s="13" t="n">
        <v>1</v>
      </c>
      <c r="E6" s="12" t="s">
        <v>1251</v>
      </c>
    </row>
    <row r="7" customFormat="false" ht="15" hidden="false" customHeight="false" outlineLevel="0" collapsed="false">
      <c r="A7" s="9" t="s">
        <v>1252</v>
      </c>
      <c r="B7" s="10" t="n">
        <v>0.92</v>
      </c>
      <c r="C7" s="11" t="s">
        <v>1253</v>
      </c>
      <c r="D7" s="10" t="n">
        <v>0.03</v>
      </c>
      <c r="E7" s="12" t="s">
        <v>1254</v>
      </c>
    </row>
    <row r="8" customFormat="false" ht="15" hidden="false" customHeight="false" outlineLevel="0" collapsed="false">
      <c r="A8" s="9" t="s">
        <v>1255</v>
      </c>
      <c r="B8" s="13" t="n">
        <v>3.5</v>
      </c>
      <c r="C8" s="11" t="s">
        <v>1253</v>
      </c>
      <c r="D8" s="13" t="n">
        <v>0.5</v>
      </c>
      <c r="E8" s="12" t="s">
        <v>1256</v>
      </c>
    </row>
    <row r="9" customFormat="false" ht="15" hidden="false" customHeight="false" outlineLevel="0" collapsed="false">
      <c r="A9" s="9" t="s">
        <v>1257</v>
      </c>
      <c r="B9" s="10" t="n">
        <v>0.85</v>
      </c>
      <c r="C9" s="11" t="s">
        <v>1253</v>
      </c>
      <c r="D9" s="10" t="n">
        <v>0.03</v>
      </c>
      <c r="E9" s="12" t="s">
        <v>1258</v>
      </c>
    </row>
    <row r="10" customFormat="false" ht="15" hidden="false" customHeight="false" outlineLevel="0" collapsed="false">
      <c r="A10" s="9" t="s">
        <v>1259</v>
      </c>
      <c r="B10" s="10" t="n">
        <v>0.78</v>
      </c>
      <c r="C10" s="11" t="s">
        <v>1253</v>
      </c>
      <c r="D10" s="10" t="n">
        <v>0.03</v>
      </c>
      <c r="E10" s="12" t="s">
        <v>1260</v>
      </c>
    </row>
    <row r="12" customFormat="false" ht="15" hidden="false" customHeight="false" outlineLevel="0" collapsed="false">
      <c r="A12" s="14" t="s">
        <v>1261</v>
      </c>
    </row>
    <row r="13" customFormat="false" ht="15" hidden="false" customHeight="false" outlineLevel="0" collapsed="false">
      <c r="A13" s="8" t="s">
        <v>2</v>
      </c>
      <c r="B13" s="8" t="s">
        <v>1262</v>
      </c>
      <c r="C13" s="8" t="s">
        <v>1263</v>
      </c>
    </row>
    <row r="14" customFormat="false" ht="15" hidden="false" customHeight="false" outlineLevel="0" collapsed="false">
      <c r="A14" s="2" t="s">
        <v>27</v>
      </c>
      <c r="B14" s="15" t="n">
        <v>10</v>
      </c>
      <c r="C14" s="16" t="s">
        <v>1264</v>
      </c>
    </row>
    <row r="15" customFormat="false" ht="15" hidden="false" customHeight="false" outlineLevel="0" collapsed="false">
      <c r="A15" s="2" t="s">
        <v>44</v>
      </c>
      <c r="B15" s="15" t="n">
        <v>2</v>
      </c>
      <c r="C15" s="16" t="s">
        <v>1264</v>
      </c>
    </row>
    <row r="16" customFormat="false" ht="15" hidden="false" customHeight="false" outlineLevel="0" collapsed="false">
      <c r="A16" s="2" t="s">
        <v>41</v>
      </c>
      <c r="B16" s="15" t="n">
        <v>240</v>
      </c>
      <c r="C16" s="16" t="s">
        <v>1264</v>
      </c>
    </row>
    <row r="17" customFormat="false" ht="15" hidden="false" customHeight="false" outlineLevel="0" collapsed="false">
      <c r="A17" s="2" t="s">
        <v>15</v>
      </c>
      <c r="B17" s="15" t="n">
        <v>1</v>
      </c>
      <c r="C17" s="16" t="s">
        <v>1264</v>
      </c>
    </row>
    <row r="19" customFormat="false" ht="15" hidden="false" customHeight="false" outlineLevel="0" collapsed="false">
      <c r="A19" s="14" t="s">
        <v>1265</v>
      </c>
    </row>
    <row r="20" customFormat="false" ht="15" hidden="false" customHeight="false" outlineLevel="0" collapsed="false">
      <c r="A20" s="8" t="s">
        <v>4</v>
      </c>
      <c r="B20" s="8" t="s">
        <v>3</v>
      </c>
    </row>
    <row r="21" customFormat="false" ht="15" hidden="false" customHeight="false" outlineLevel="0" collapsed="false">
      <c r="A21" s="17" t="s">
        <v>17</v>
      </c>
      <c r="B21" s="17" t="s">
        <v>16</v>
      </c>
    </row>
    <row r="22" customFormat="false" ht="15" hidden="false" customHeight="false" outlineLevel="0" collapsed="false">
      <c r="A22" s="17" t="s">
        <v>36</v>
      </c>
      <c r="B22" s="17" t="s">
        <v>16</v>
      </c>
    </row>
    <row r="23" customFormat="false" ht="15" hidden="false" customHeight="false" outlineLevel="0" collapsed="false">
      <c r="A23" s="17" t="s">
        <v>31</v>
      </c>
      <c r="B23" s="17" t="s">
        <v>16</v>
      </c>
    </row>
    <row r="24" customFormat="false" ht="15" hidden="false" customHeight="false" outlineLevel="0" collapsed="false">
      <c r="A24" s="17" t="s">
        <v>39</v>
      </c>
      <c r="B24" s="17" t="s">
        <v>38</v>
      </c>
    </row>
    <row r="25" customFormat="false" ht="15" hidden="false" customHeight="false" outlineLevel="0" collapsed="false">
      <c r="A25" s="17" t="s">
        <v>56</v>
      </c>
      <c r="B25" s="17" t="s">
        <v>38</v>
      </c>
    </row>
    <row r="26" customFormat="false" ht="15" hidden="false" customHeight="false" outlineLevel="0" collapsed="false">
      <c r="A26" s="17" t="s">
        <v>47</v>
      </c>
      <c r="B26" s="17" t="s">
        <v>38</v>
      </c>
    </row>
    <row r="27" customFormat="false" ht="15" hidden="false" customHeight="false" outlineLevel="0" collapsed="false">
      <c r="A27" s="17" t="s">
        <v>23</v>
      </c>
      <c r="B27" s="17" t="s">
        <v>22</v>
      </c>
    </row>
    <row r="28" customFormat="false" ht="15" hidden="false" customHeight="false" outlineLevel="0" collapsed="false">
      <c r="A28" s="17" t="s">
        <v>28</v>
      </c>
      <c r="B28" s="17" t="s">
        <v>22</v>
      </c>
    </row>
    <row r="30" customFormat="false" ht="15" hidden="false" customHeight="false" outlineLevel="0" collapsed="false">
      <c r="A30" s="14" t="s">
        <v>1266</v>
      </c>
    </row>
    <row r="31" customFormat="false" ht="15" hidden="false" customHeight="false" outlineLevel="0" collapsed="false">
      <c r="A31" s="8" t="s">
        <v>1267</v>
      </c>
    </row>
    <row r="32" customFormat="false" ht="15" hidden="false" customHeight="false" outlineLevel="0" collapsed="false">
      <c r="A32" s="2" t="s">
        <v>16</v>
      </c>
    </row>
    <row r="33" customFormat="false" ht="15" hidden="false" customHeight="false" outlineLevel="0" collapsed="false">
      <c r="A33" s="2" t="s">
        <v>38</v>
      </c>
    </row>
    <row r="34" customFormat="false" ht="15" hidden="false" customHeight="false" outlineLevel="0" collapsed="false">
      <c r="A34" s="2" t="s">
        <v>22</v>
      </c>
    </row>
    <row r="36" customFormat="false" ht="15" hidden="false" customHeight="false" outlineLevel="0" collapsed="false">
      <c r="A36" s="8" t="s">
        <v>1268</v>
      </c>
    </row>
    <row r="37" customFormat="false" ht="15" hidden="false" customHeight="false" outlineLevel="0" collapsed="false">
      <c r="A37" s="2" t="s">
        <v>18</v>
      </c>
    </row>
    <row r="38" customFormat="false" ht="15" hidden="false" customHeight="false" outlineLevel="0" collapsed="false">
      <c r="A38" s="2" t="s">
        <v>42</v>
      </c>
    </row>
    <row r="39" customFormat="false" ht="15" hidden="false" customHeight="false" outlineLevel="0" collapsed="false">
      <c r="A39" s="2" t="s">
        <v>24</v>
      </c>
    </row>
    <row r="40" customFormat="false" ht="1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 t="s">
        <v>70</v>
      </c>
    </row>
    <row r="42" customFormat="false" ht="15" hidden="false" customHeight="false" outlineLevel="0" collapsed="false">
      <c r="A42" s="2" t="s">
        <v>34</v>
      </c>
    </row>
    <row r="45" customFormat="false" ht="15" hidden="false" customHeight="false" outlineLevel="0" collapsed="false">
      <c r="A45" s="14" t="s">
        <v>1269</v>
      </c>
    </row>
    <row r="46" customFormat="false" ht="15" hidden="false" customHeight="false" outlineLevel="0" collapsed="false">
      <c r="A46" s="2" t="s">
        <v>1270</v>
      </c>
      <c r="B46" s="18" t="n">
        <f aca="false">MIN(01_Base!$B$2:$B$1201)</f>
        <v>46266</v>
      </c>
    </row>
    <row r="47" customFormat="false" ht="15" hidden="false" customHeight="false" outlineLevel="0" collapsed="false">
      <c r="A47" s="2" t="s">
        <v>1271</v>
      </c>
      <c r="B47" s="18" t="n">
        <f aca="false">MAX(01_Base!$B$2:$B$1201)</f>
        <v>46325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9.51"/>
    <col collapsed="false" customWidth="true" hidden="false" outlineLevel="0" max="21" min="20" style="0" width="3"/>
    <col collapsed="false" customWidth="true" hidden="false" outlineLevel="0" max="29" min="22" style="0" width="16"/>
  </cols>
  <sheetData>
    <row r="1" customFormat="false" ht="15" hidden="false" customHeight="fals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customFormat="false" ht="36" hidden="false" customHeight="true" outlineLevel="0" collapsed="false">
      <c r="A2" s="19"/>
      <c r="B2" s="20" t="s">
        <v>1272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19"/>
    </row>
    <row r="3" customFormat="false" ht="19.5" hidden="false" customHeight="true" outlineLevel="0" collapsed="false">
      <c r="A3" s="19"/>
      <c r="B3" s="21" t="s">
        <v>1273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19"/>
      <c r="V3" s="22" t="s">
        <v>1274</v>
      </c>
    </row>
    <row r="4" customFormat="false" ht="15" hidden="false" customHeight="false" outlineLevel="0" collapsed="false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customFormat="false" ht="15" hidden="false" customHeight="false" outlineLevel="0" collapsed="false">
      <c r="A5" s="19"/>
      <c r="B5" s="23" t="s">
        <v>1275</v>
      </c>
      <c r="C5" s="19"/>
      <c r="D5" s="23" t="s">
        <v>1276</v>
      </c>
      <c r="E5" s="19"/>
      <c r="F5" s="19"/>
      <c r="G5" s="23" t="s">
        <v>2</v>
      </c>
      <c r="H5" s="19"/>
      <c r="I5" s="19"/>
      <c r="J5" s="19"/>
      <c r="K5" s="23" t="s">
        <v>3</v>
      </c>
      <c r="L5" s="19"/>
      <c r="M5" s="19"/>
      <c r="N5" s="19"/>
      <c r="O5" s="23" t="s">
        <v>5</v>
      </c>
      <c r="P5" s="19"/>
      <c r="Q5" s="19"/>
      <c r="R5" s="19"/>
      <c r="S5" s="19"/>
      <c r="T5" s="19"/>
      <c r="V5" s="16" t="s">
        <v>1277</v>
      </c>
      <c r="W5" s="16" t="str">
        <f aca="false">IF($G$6="Todos","*",$G$6)</f>
        <v>*</v>
      </c>
    </row>
    <row r="6" customFormat="false" ht="21.75" hidden="false" customHeight="true" outlineLevel="0" collapsed="false">
      <c r="A6" s="19"/>
      <c r="B6" s="24" t="n">
        <v>46266</v>
      </c>
      <c r="C6" s="24"/>
      <c r="D6" s="24" t="n">
        <v>46325</v>
      </c>
      <c r="E6" s="24"/>
      <c r="F6" s="19"/>
      <c r="G6" s="25" t="s">
        <v>1278</v>
      </c>
      <c r="H6" s="25"/>
      <c r="I6" s="25"/>
      <c r="J6" s="19"/>
      <c r="K6" s="25" t="s">
        <v>1278</v>
      </c>
      <c r="L6" s="25"/>
      <c r="M6" s="25"/>
      <c r="N6" s="19"/>
      <c r="O6" s="25" t="s">
        <v>1278</v>
      </c>
      <c r="P6" s="25"/>
      <c r="Q6" s="25"/>
      <c r="R6" s="25"/>
      <c r="S6" s="25"/>
      <c r="T6" s="19"/>
      <c r="V6" s="16" t="s">
        <v>1279</v>
      </c>
      <c r="W6" s="16" t="str">
        <f aca="false">IF($K$6="Todos","*",$K$6)</f>
        <v>*</v>
      </c>
    </row>
    <row r="7" customFormat="false" ht="15" hidden="false" customHeight="false" outlineLevel="0" collapsed="false">
      <c r="A7" s="19"/>
      <c r="B7" s="26" t="str">
        <f aca="false">IF(D6&lt;B6,"Atenção: a data final é anterior à inicial.","Para limpar os filtros: Canal, Equipe e Motivo em Todos, e as datas em 01/09/2026 e 30/10/2026.")</f>
        <v>Para limpar os filtros: Canal, Equipe e Motivo em Todos, e as datas em 01/09/2026 e 30/10/2026.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19"/>
      <c r="V7" s="16" t="s">
        <v>1280</v>
      </c>
      <c r="W7" s="16" t="str">
        <f aca="false">IF($O$6="Todos","*",$O$6)</f>
        <v>*</v>
      </c>
    </row>
    <row r="8" customFormat="false" ht="15" hidden="false" customHeight="fals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V8" s="16" t="s">
        <v>1281</v>
      </c>
      <c r="W8" s="27" t="n">
        <f aca="false">$B$6</f>
        <v>46266</v>
      </c>
    </row>
    <row r="9" customFormat="false" ht="15" hidden="false" customHeight="false" outlineLevel="0" collapsed="false">
      <c r="A9" s="19"/>
      <c r="B9" s="28" t="s">
        <v>1282</v>
      </c>
      <c r="C9" s="28"/>
      <c r="D9" s="28"/>
      <c r="E9" s="28" t="s">
        <v>1283</v>
      </c>
      <c r="F9" s="28"/>
      <c r="G9" s="28"/>
      <c r="H9" s="28" t="s">
        <v>1252</v>
      </c>
      <c r="I9" s="28"/>
      <c r="J9" s="28"/>
      <c r="K9" s="28" t="s">
        <v>1284</v>
      </c>
      <c r="L9" s="28"/>
      <c r="M9" s="28"/>
      <c r="N9" s="28" t="s">
        <v>1257</v>
      </c>
      <c r="O9" s="28"/>
      <c r="P9" s="28"/>
      <c r="Q9" s="28" t="s">
        <v>1259</v>
      </c>
      <c r="R9" s="28"/>
      <c r="S9" s="28"/>
      <c r="T9" s="19"/>
      <c r="V9" s="16" t="s">
        <v>1285</v>
      </c>
      <c r="W9" s="27" t="n">
        <f aca="false">$D$6</f>
        <v>46325</v>
      </c>
    </row>
    <row r="10" customFormat="false" ht="19.5" hidden="false" customHeight="true" outlineLevel="0" collapsed="false">
      <c r="A10" s="19"/>
      <c r="B10" s="29" t="n">
        <f aca="false">$W$14</f>
        <v>1200</v>
      </c>
      <c r="C10" s="29"/>
      <c r="D10" s="29"/>
      <c r="E10" s="30" t="n">
        <f aca="false">$W$16</f>
        <v>9.52788296041308</v>
      </c>
      <c r="F10" s="30"/>
      <c r="G10" s="30"/>
      <c r="H10" s="31" t="n">
        <f aca="false">$W$19</f>
        <v>0.881443298969072</v>
      </c>
      <c r="I10" s="31"/>
      <c r="J10" s="31"/>
      <c r="K10" s="32" t="n">
        <f aca="false">$W$25</f>
        <v>3.30113636363636</v>
      </c>
      <c r="L10" s="32"/>
      <c r="M10" s="32"/>
      <c r="N10" s="31" t="n">
        <f aca="false">$W$22</f>
        <v>0.809302325581395</v>
      </c>
      <c r="O10" s="31"/>
      <c r="P10" s="31"/>
      <c r="Q10" s="31" t="n">
        <f aca="false">$W$24</f>
        <v>0.757314974182444</v>
      </c>
      <c r="R10" s="31"/>
      <c r="S10" s="31"/>
      <c r="T10" s="19"/>
      <c r="V10" s="16" t="s">
        <v>1286</v>
      </c>
      <c r="W10" s="16" t="n">
        <f aca="false">IF($K$6="Todos",COUNTA(02_Parâmetros!$A$21:$A$28),COUNTIF(02_Parâmetros!$B$21:$B$28,$K$6))</f>
        <v>8</v>
      </c>
    </row>
    <row r="11" customFormat="false" ht="19.5" hidden="false" customHeight="true" outlineLevel="0" collapsed="false">
      <c r="A11" s="19"/>
      <c r="B11" s="29"/>
      <c r="C11" s="29"/>
      <c r="D11" s="29"/>
      <c r="E11" s="30"/>
      <c r="F11" s="30"/>
      <c r="G11" s="30"/>
      <c r="H11" s="31"/>
      <c r="I11" s="31"/>
      <c r="J11" s="31"/>
      <c r="K11" s="32"/>
      <c r="L11" s="32"/>
      <c r="M11" s="32"/>
      <c r="N11" s="31"/>
      <c r="O11" s="31"/>
      <c r="P11" s="31"/>
      <c r="Q11" s="31"/>
      <c r="R11" s="31"/>
      <c r="S11" s="31"/>
      <c r="T11" s="19"/>
      <c r="V11" s="16" t="s">
        <v>1287</v>
      </c>
      <c r="W11" s="16" t="n">
        <f aca="false">NETWORKDAYS(W8,W9)</f>
        <v>44</v>
      </c>
    </row>
    <row r="12" customFormat="false" ht="25.5" hidden="false" customHeight="true" outlineLevel="0" collapsed="false">
      <c r="A12" s="19"/>
      <c r="B12" s="33" t="str">
        <f aca="false">"média de "&amp;ROUND($W$27,1)&amp;" por dia · "&amp;ROUND($W$28*100,0)&amp;"% da capacidade"</f>
        <v>média de 27.3 por dia · 97% da capacidade</v>
      </c>
      <c r="C12" s="33"/>
      <c r="D12" s="33"/>
      <c r="E12" s="33" t="str">
        <f aca="false">"meta ≤ "&amp;ROUND(02_Parâmetros!$B$6,1)&amp;" min"</f>
        <v>meta ≤ 9 min</v>
      </c>
      <c r="F12" s="33"/>
      <c r="G12" s="33"/>
      <c r="H12" s="33" t="str">
        <f aca="false">"meta ≥ "&amp;ROUND(02_Parâmetros!$B$7*100,0)&amp;"%"</f>
        <v>meta ≥ 92%</v>
      </c>
      <c r="I12" s="33"/>
      <c r="J12" s="33"/>
      <c r="K12" s="33" t="str">
        <f aca="false">"meta ≥ "&amp;ROUND(02_Parâmetros!$B$8,1)&amp;" resolvidos por atendente/dia"</f>
        <v>meta ≥ 3.5 resolvidos por atendente/dia</v>
      </c>
      <c r="L12" s="33"/>
      <c r="M12" s="33"/>
      <c r="N12" s="33" t="str">
        <f aca="false">"meta ≥ "&amp;ROUND(02_Parâmetros!$B$9*100,0)&amp;"%"&amp;" · "&amp;$W$20&amp;" respostas"</f>
        <v>meta ≥ 85% · 430 respostas</v>
      </c>
      <c r="O12" s="33"/>
      <c r="P12" s="33"/>
      <c r="Q12" s="33" t="str">
        <f aca="false">"meta ≥ "&amp;ROUND(02_Parâmetros!$B$10*100,0)&amp;"%"</f>
        <v>meta ≥ 78%</v>
      </c>
      <c r="R12" s="33"/>
      <c r="S12" s="33"/>
      <c r="T12" s="19"/>
    </row>
    <row r="13" customFormat="false" ht="15" hidden="false" customHeight="false" outlineLevel="0" collapsed="false">
      <c r="A13" s="19"/>
      <c r="B13" s="34" t="str">
        <f aca="false">IF($W$14=0,"Sem dados",IF(02_Parâmetros!$C$5="Maior",IF($W$28&gt;=02_Parâmetros!$B$5,"Na meta",IF($W$28&gt;=02_Parâmetros!$B$5-02_Parâmetros!$D$5,"Atenção","Abaixo")),IF($W$28&lt;=02_Parâmetros!$B$5,"Na meta",IF($W$28&lt;=02_Parâmetros!$B$5+02_Parâmetros!$D$5,"Atenção","Abaixo"))))</f>
        <v>Atenção</v>
      </c>
      <c r="C13" s="34"/>
      <c r="D13" s="34"/>
      <c r="E13" s="34" t="str">
        <f aca="false">IF($W$14=0,"Sem dados",IF(02_Parâmetros!$C$6="Maior",IF($W$16&gt;=02_Parâmetros!$B$6,"Na meta",IF($W$16&gt;=02_Parâmetros!$B$6-02_Parâmetros!$D$6,"Atenção","Abaixo")),IF($W$16&lt;=02_Parâmetros!$B$6,"Na meta",IF($W$16&lt;=02_Parâmetros!$B$6+02_Parâmetros!$D$6,"Atenção","Abaixo"))))</f>
        <v>Atenção</v>
      </c>
      <c r="F13" s="34"/>
      <c r="G13" s="34"/>
      <c r="H13" s="34" t="str">
        <f aca="false">IF($W$14=0,"Sem dados",IF(02_Parâmetros!$C$7="Maior",IF($W$19&gt;=02_Parâmetros!$B$7,"Na meta",IF($W$19&gt;=02_Parâmetros!$B$7-02_Parâmetros!$D$7,"Atenção","Abaixo")),IF($W$19&lt;=02_Parâmetros!$B$7,"Na meta",IF($W$19&lt;=02_Parâmetros!$B$7+02_Parâmetros!$D$7,"Atenção","Abaixo"))))</f>
        <v>Abaixo</v>
      </c>
      <c r="I13" s="34"/>
      <c r="J13" s="34"/>
      <c r="K13" s="34" t="str">
        <f aca="false">IF($W$14=0,"Sem dados",IF(02_Parâmetros!$C$8="Maior",IF($W$25&gt;=02_Parâmetros!$B$8,"Na meta",IF($W$25&gt;=02_Parâmetros!$B$8-02_Parâmetros!$D$8,"Atenção","Abaixo")),IF($W$25&lt;=02_Parâmetros!$B$8,"Na meta",IF($W$25&lt;=02_Parâmetros!$B$8+02_Parâmetros!$D$8,"Atenção","Abaixo"))))</f>
        <v>Atenção</v>
      </c>
      <c r="L13" s="34"/>
      <c r="M13" s="34"/>
      <c r="N13" s="34" t="str">
        <f aca="false">IF($W$14=0,"Sem dados",IF(02_Parâmetros!$C$9="Maior",IF($W$22&gt;=02_Parâmetros!$B$9,"Na meta",IF($W$22&gt;=02_Parâmetros!$B$9-02_Parâmetros!$D$9,"Atenção","Abaixo")),IF($W$22&lt;=02_Parâmetros!$B$9,"Na meta",IF($W$22&lt;=02_Parâmetros!$B$9+02_Parâmetros!$D$9,"Atenção","Abaixo"))))</f>
        <v>Abaixo</v>
      </c>
      <c r="O13" s="34"/>
      <c r="P13" s="34"/>
      <c r="Q13" s="34" t="str">
        <f aca="false">IF($W$14=0,"Sem dados",IF(02_Parâmetros!$C$10="Maior",IF($W$24&gt;=02_Parâmetros!$B$10,"Na meta",IF($W$24&gt;=02_Parâmetros!$B$10-02_Parâmetros!$D$10,"Atenção","Abaixo")),IF($W$24&lt;=02_Parâmetros!$B$10,"Na meta",IF($W$24&lt;=02_Parâmetros!$B$10+02_Parâmetros!$D$10,"Atenção","Abaixo"))))</f>
        <v>Atenção</v>
      </c>
      <c r="R13" s="34"/>
      <c r="S13" s="34"/>
      <c r="T13" s="19"/>
    </row>
    <row r="14" customFormat="false" ht="1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V14" s="16" t="s">
        <v>1288</v>
      </c>
      <c r="W14" s="35" t="n">
        <f aca="false">COUNTIFS(01_Base!$B$2:$B$1201,"&gt;="&amp;$W$8,01_Base!$B$2:$B$1201,"&lt;="&amp;$W$9,01_Base!$C$2:$C$1201,$W$5,01_Base!$D$2:$D$1201,$W$6,01_Base!$F$2:$F$1201,$W$7)</f>
        <v>1200</v>
      </c>
    </row>
    <row r="15" customFormat="false" ht="24" hidden="false" customHeight="true" outlineLevel="0" collapsed="false">
      <c r="A15" s="19"/>
      <c r="B15" s="36" t="s">
        <v>1289</v>
      </c>
      <c r="C15" s="36"/>
      <c r="D15" s="36"/>
      <c r="E15" s="36"/>
      <c r="F15" s="36"/>
      <c r="G15" s="36"/>
      <c r="H15" s="36"/>
      <c r="I15" s="36"/>
      <c r="J15" s="36"/>
      <c r="K15" s="36" t="s">
        <v>1290</v>
      </c>
      <c r="L15" s="36"/>
      <c r="M15" s="36"/>
      <c r="N15" s="36"/>
      <c r="O15" s="36"/>
      <c r="P15" s="36"/>
      <c r="Q15" s="36"/>
      <c r="R15" s="36"/>
      <c r="S15" s="36"/>
      <c r="T15" s="19"/>
      <c r="V15" s="16" t="s">
        <v>1291</v>
      </c>
      <c r="W15" s="35" t="n">
        <f aca="false">COUNTIFS(01_Base!$B$2:$B$1201,"&gt;="&amp;$W$8,01_Base!$B$2:$B$1201,"&lt;="&amp;$W$9,01_Base!$C$2:$C$1201,$W$5,01_Base!$D$2:$D$1201,$W$6,01_Base!$F$2:$F$1201,$W$7,01_Base!$G$2:$G$1201,"Resolvido")</f>
        <v>1162</v>
      </c>
    </row>
    <row r="16" customFormat="false" ht="48" hidden="false" customHeight="true" outlineLevel="0" collapsed="false">
      <c r="A16" s="19"/>
      <c r="B16" s="37" t="str">
        <f aca="false">IF($W$14=0,"Sem atendimentos com esses filtros.","Média de "&amp;ROUND($W$27,1)&amp;" atendimentos por dia útil, "&amp;ROUND($W$28*100,0)&amp;"% da capacidade estimada de "&amp;ROUND($W$26,0)&amp;" por dia. A semana de maior volume começa em "&amp;DAY(INDEX($V$54:$V$62,MATCH(MAX($W$54:$W$62),$W$54:$W$62,0)))&amp;"/"&amp;MONTH(INDEX($V$54:$V$62,MATCH(MAX($W$54:$W$62),$W$54:$W$62,0)))&amp;" ("&amp;MAX($W$54:$W$62)&amp;" atendimentos).")</f>
        <v>Média de 27.3 atendimentos por dia útil, 97% da capacidade estimada de 28 por dia. A semana de maior volume começa em 12/10 (166 atendimentos).</v>
      </c>
      <c r="C16" s="37"/>
      <c r="D16" s="37"/>
      <c r="E16" s="37"/>
      <c r="F16" s="37"/>
      <c r="G16" s="37"/>
      <c r="H16" s="37"/>
      <c r="I16" s="37"/>
      <c r="J16" s="37"/>
      <c r="K16" s="37" t="str">
        <f aca="false">IF($W$17=0,"Sem dados de SLA com esses filtros.","SLA geral de "&amp;ROUND($W$19*100,1)&amp;"%, contra meta de "&amp;ROUND(02_Parâmetros!$B$7*100,0)&amp;"%. O canal com menor SLA é "&amp;INDEX($V$32:$V$35,MATCH(MIN($Y$32:$Y$35),$Y$32:$Y$35,0))&amp;" ("&amp;ROUND(MIN($Y$32:$Y$35)*100,1)&amp;"%).")</f>
        <v>SLA geral de 88.1%, contra meta de 92%. O canal com menor SLA é E-mail (82.2%).</v>
      </c>
      <c r="L16" s="37"/>
      <c r="M16" s="37"/>
      <c r="N16" s="37"/>
      <c r="O16" s="37"/>
      <c r="P16" s="37"/>
      <c r="Q16" s="37"/>
      <c r="R16" s="37"/>
      <c r="S16" s="37"/>
      <c r="T16" s="19"/>
      <c r="V16" s="16" t="s">
        <v>1250</v>
      </c>
      <c r="W16" s="38" t="n">
        <f aca="false">IFERROR(AVERAGEIFS(01_Base!$I$2:$I$1201,01_Base!$B$2:$B$1201,"&gt;="&amp;$W$8,01_Base!$B$2:$B$1201,"&lt;="&amp;$W$9,01_Base!$C$2:$C$1201,$W$5,01_Base!$D$2:$D$1201,$W$6,01_Base!$F$2:$F$1201,$W$7,01_Base!$G$2:$G$1201,"Resolvido"),0)</f>
        <v>9.52788296041308</v>
      </c>
    </row>
    <row r="17" customFormat="false" ht="1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V17" s="16" t="s">
        <v>1292</v>
      </c>
      <c r="W17" s="35" t="n">
        <f aca="false">COUNTIFS(01_Base!$B$2:$B$1201,"&gt;="&amp;$W$8,01_Base!$B$2:$B$1201,"&lt;="&amp;$W$9,01_Base!$C$2:$C$1201,$W$5,01_Base!$D$2:$D$1201,$W$6,01_Base!$F$2:$F$1201,$W$7,01_Base!$N$2:$N$1201,"Sim")+COUNTIFS(01_Base!$B$2:$B$1201,"&gt;="&amp;$W$8,01_Base!$B$2:$B$1201,"&lt;="&amp;$W$9,01_Base!$C$2:$C$1201,$W$5,01_Base!$D$2:$D$1201,$W$6,01_Base!$F$2:$F$1201,$W$7,01_Base!$N$2:$N$1201,"Não")</f>
        <v>1164</v>
      </c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V18" s="16" t="s">
        <v>1293</v>
      </c>
      <c r="W18" s="35" t="n">
        <f aca="false">COUNTIFS(01_Base!$B$2:$B$1201,"&gt;="&amp;$W$8,01_Base!$B$2:$B$1201,"&lt;="&amp;$W$9,01_Base!$C$2:$C$1201,$W$5,01_Base!$D$2:$D$1201,$W$6,01_Base!$F$2:$F$1201,$W$7,01_Base!$N$2:$N$1201,"Sim")</f>
        <v>1026</v>
      </c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V19" s="16" t="s">
        <v>1294</v>
      </c>
      <c r="W19" s="39" t="n">
        <f aca="false">IF(W17=0,0,W18/W17)</f>
        <v>0.881443298969072</v>
      </c>
    </row>
    <row r="20" customFormat="false" ht="1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V20" s="16" t="s">
        <v>1295</v>
      </c>
      <c r="W20" s="35" t="n">
        <f aca="false">COUNTIFS(01_Base!$B$2:$B$1201,"&gt;="&amp;$W$8,01_Base!$B$2:$B$1201,"&lt;="&amp;$W$9,01_Base!$C$2:$C$1201,$W$5,01_Base!$D$2:$D$1201,$W$6,01_Base!$F$2:$F$1201,$W$7,01_Base!$K$2:$K$1201,"&gt;=1")</f>
        <v>430</v>
      </c>
    </row>
    <row r="21" customFormat="false" ht="15" hidden="false" customHeight="fals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V21" s="16" t="s">
        <v>1296</v>
      </c>
      <c r="W21" s="35" t="n">
        <f aca="false">COUNTIFS(01_Base!$B$2:$B$1201,"&gt;="&amp;$W$8,01_Base!$B$2:$B$1201,"&lt;="&amp;$W$9,01_Base!$C$2:$C$1201,$W$5,01_Base!$D$2:$D$1201,$W$6,01_Base!$F$2:$F$1201,$W$7,01_Base!$K$2:$K$1201,"&gt;=4")</f>
        <v>348</v>
      </c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V22" s="16" t="s">
        <v>1297</v>
      </c>
      <c r="W22" s="39" t="n">
        <f aca="false">IF(W20=0,0,W21/W20)</f>
        <v>0.809302325581395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V23" s="16" t="s">
        <v>1298</v>
      </c>
      <c r="W23" s="35" t="n">
        <f aca="false">COUNTIFS(01_Base!$B$2:$B$1201,"&gt;="&amp;$W$8,01_Base!$B$2:$B$1201,"&lt;="&amp;$W$9,01_Base!$C$2:$C$1201,$W$5,01_Base!$D$2:$D$1201,$W$6,01_Base!$F$2:$F$1201,$W$7,01_Base!$G$2:$G$1201,"Resolvido",01_Base!$J$2:$J$1201,"Sim")</f>
        <v>880</v>
      </c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V24" s="16" t="s">
        <v>1299</v>
      </c>
      <c r="W24" s="39" t="n">
        <f aca="false">IF(W15=0,0,W23/W15)</f>
        <v>0.757314974182444</v>
      </c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V25" s="16" t="s">
        <v>1284</v>
      </c>
      <c r="W25" s="38" t="n">
        <f aca="false">IF(OR(W10=0,W11=0),0,W15/(W10*W11))</f>
        <v>3.30113636363636</v>
      </c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V26" s="16" t="s">
        <v>1300</v>
      </c>
      <c r="W26" s="40" t="n">
        <f aca="false">W10*02_Parâmetros!$B$8</f>
        <v>28</v>
      </c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V27" s="16" t="s">
        <v>1301</v>
      </c>
      <c r="W27" s="40" t="n">
        <f aca="false">IF(W11=0,0,W14/W11)</f>
        <v>27.2727272727273</v>
      </c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V28" s="16" t="s">
        <v>1302</v>
      </c>
      <c r="W28" s="39" t="n">
        <f aca="false">IF(W26=0,0,W27/W26)</f>
        <v>0.974025974025974</v>
      </c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V31" s="41" t="s">
        <v>1303</v>
      </c>
      <c r="W31" s="41" t="s">
        <v>1304</v>
      </c>
      <c r="X31" s="41" t="s">
        <v>1305</v>
      </c>
      <c r="Y31" s="41" t="s">
        <v>1294</v>
      </c>
      <c r="Z31" s="41" t="s">
        <v>1243</v>
      </c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V32" s="16" t="str">
        <f aca="false">02_Parâmetros!$A$14</f>
        <v>WhatsApp</v>
      </c>
      <c r="W32" s="35" t="n">
        <f aca="false">COUNTIFS(01_Base!$B$2:$B$1201,"&gt;="&amp;$W$8,01_Base!$B$2:$B$1201,"&lt;="&amp;$W$9,01_Base!$C$2:$C$1201,$V32,01_Base!$D$2:$D$1201,$W$6,01_Base!$F$2:$F$1201,$W$7,01_Base!$N$2:$N$1201,"Sim")+COUNTIFS(01_Base!$B$2:$B$1201,"&gt;="&amp;$W$8,01_Base!$B$2:$B$1201,"&lt;="&amp;$W$9,01_Base!$C$2:$C$1201,$V32,01_Base!$D$2:$D$1201,$W$6,01_Base!$F$2:$F$1201,$W$7,01_Base!$N$2:$N$1201,"Não")</f>
        <v>428</v>
      </c>
      <c r="X32" s="35" t="n">
        <f aca="false">COUNTIFS(01_Base!$B$2:$B$1201,"&gt;="&amp;$W$8,01_Base!$B$2:$B$1201,"&lt;="&amp;$W$9,01_Base!$C$2:$C$1201,$V32,01_Base!$D$2:$D$1201,$W$6,01_Base!$F$2:$F$1201,$W$7,01_Base!$N$2:$N$1201,"Sim")</f>
        <v>384</v>
      </c>
      <c r="Y32" s="39" t="n">
        <f aca="false">IF(W32=0,"",X32/W32)</f>
        <v>0.897196261682243</v>
      </c>
      <c r="Z32" s="42" t="n">
        <f aca="false">02_Parâmetros!$B$7</f>
        <v>0.92</v>
      </c>
    </row>
    <row r="33" customFormat="false" ht="24" hidden="false" customHeight="true" outlineLevel="0" collapsed="false">
      <c r="A33" s="19"/>
      <c r="B33" s="36" t="s">
        <v>1306</v>
      </c>
      <c r="C33" s="36"/>
      <c r="D33" s="36"/>
      <c r="E33" s="36"/>
      <c r="F33" s="36"/>
      <c r="G33" s="36"/>
      <c r="H33" s="36"/>
      <c r="I33" s="36"/>
      <c r="J33" s="36"/>
      <c r="K33" s="36" t="s">
        <v>1307</v>
      </c>
      <c r="L33" s="36"/>
      <c r="M33" s="36"/>
      <c r="N33" s="36"/>
      <c r="O33" s="36"/>
      <c r="P33" s="36"/>
      <c r="Q33" s="36"/>
      <c r="R33" s="36"/>
      <c r="S33" s="36"/>
      <c r="T33" s="19"/>
      <c r="V33" s="16" t="str">
        <f aca="false">02_Parâmetros!$A$15</f>
        <v>Chat</v>
      </c>
      <c r="W33" s="35" t="n">
        <f aca="false">COUNTIFS(01_Base!$B$2:$B$1201,"&gt;="&amp;$W$8,01_Base!$B$2:$B$1201,"&lt;="&amp;$W$9,01_Base!$C$2:$C$1201,$V33,01_Base!$D$2:$D$1201,$W$6,01_Base!$F$2:$F$1201,$W$7,01_Base!$N$2:$N$1201,"Sim")+COUNTIFS(01_Base!$B$2:$B$1201,"&gt;="&amp;$W$8,01_Base!$B$2:$B$1201,"&lt;="&amp;$W$9,01_Base!$C$2:$C$1201,$V33,01_Base!$D$2:$D$1201,$W$6,01_Base!$F$2:$F$1201,$W$7,01_Base!$N$2:$N$1201,"Não")</f>
        <v>262</v>
      </c>
      <c r="X33" s="35" t="n">
        <f aca="false">COUNTIFS(01_Base!$B$2:$B$1201,"&gt;="&amp;$W$8,01_Base!$B$2:$B$1201,"&lt;="&amp;$W$9,01_Base!$C$2:$C$1201,$V33,01_Base!$D$2:$D$1201,$W$6,01_Base!$F$2:$F$1201,$W$7,01_Base!$N$2:$N$1201,"Sim")</f>
        <v>243</v>
      </c>
      <c r="Y33" s="39" t="n">
        <f aca="false">IF(W33=0,"",X33/W33)</f>
        <v>0.927480916030534</v>
      </c>
      <c r="Z33" s="42" t="n">
        <f aca="false">02_Parâmetros!$B$7</f>
        <v>0.92</v>
      </c>
    </row>
    <row r="34" customFormat="false" ht="48" hidden="false" customHeight="true" outlineLevel="0" collapsed="false">
      <c r="A34" s="19"/>
      <c r="B34" s="37" t="str">
        <f aca="false">IF($W$20=0,"Sem respostas de CSAT com esses filtros.","O menor CSAT está em "&amp;INDEX($V$39:$V$44,MATCH(MIN($Y$39:$Y$44),$Y$39:$Y$44,0))&amp;" ("&amp;ROUND(MIN($Y$39:$Y$44)*100,1)&amp;"%, "&amp;INDEX($W$39:$W$44,MATCH(MIN($Y$39:$Y$44),$Y$39:$Y$44,0))&amp;" respostas). O maior é "&amp;INDEX($V$39:$V$44,MATCH(MAX($Y$39:$Y$44),$Y$39:$Y$44,0))&amp;" ("&amp;ROUND(MAX($Y$39:$Y$44)*100,1)&amp;"%). A meta de CSAT é "&amp;ROUND(02_Parâmetros!$B$9*100,0)&amp;"%.")</f>
        <v>O menor CSAT está em Atraso na entrega (72.4%, 116 respostas). O maior é Dúvida sobre o pedido (90.6%). A meta de CSAT é 85%.</v>
      </c>
      <c r="C34" s="37"/>
      <c r="D34" s="37"/>
      <c r="E34" s="37"/>
      <c r="F34" s="37"/>
      <c r="G34" s="37"/>
      <c r="H34" s="37"/>
      <c r="I34" s="37"/>
      <c r="J34" s="37"/>
      <c r="K34" s="37" t="str">
        <f aca="false">IF($W$15=0,"Sem resolvidos com esses filtros.","A equipe com maior carga é "&amp;INDEX($V$48:$V$50,MATCH(MAX($Y$48:$Y$50),$Y$48:$Y$50,0))&amp;" ("&amp;ROUND(MAX($Y$48:$Y$50),2)&amp;" resolvidos por atendente por dia útil) e a de menor carga é "&amp;INDEX($V$48:$V$50,MATCH(MIN($Y$48:$Y$50),$Y$48:$Y$50,0))&amp;" ("&amp;ROUND(MIN($Y$48:$Y$50),2)&amp;"). Meta: "&amp;ROUND(02_Parâmetros!$B$8,1)&amp;".")</f>
        <v>A equipe com maior carga é Equipe C (3.89 resolvidos por atendente por dia útil) e a de menor carga é Equipe B (3.1). Meta: 3.5.</v>
      </c>
      <c r="L34" s="37"/>
      <c r="M34" s="37"/>
      <c r="N34" s="37"/>
      <c r="O34" s="37"/>
      <c r="P34" s="37"/>
      <c r="Q34" s="37"/>
      <c r="R34" s="37"/>
      <c r="S34" s="37"/>
      <c r="T34" s="19"/>
      <c r="V34" s="16" t="str">
        <f aca="false">02_Parâmetros!$A$16</f>
        <v>E-mail</v>
      </c>
      <c r="W34" s="35" t="n">
        <f aca="false">COUNTIFS(01_Base!$B$2:$B$1201,"&gt;="&amp;$W$8,01_Base!$B$2:$B$1201,"&lt;="&amp;$W$9,01_Base!$C$2:$C$1201,$V34,01_Base!$D$2:$D$1201,$W$6,01_Base!$F$2:$F$1201,$W$7,01_Base!$N$2:$N$1201,"Sim")+COUNTIFS(01_Base!$B$2:$B$1201,"&gt;="&amp;$W$8,01_Base!$B$2:$B$1201,"&lt;="&amp;$W$9,01_Base!$C$2:$C$1201,$V34,01_Base!$D$2:$D$1201,$W$6,01_Base!$F$2:$F$1201,$W$7,01_Base!$N$2:$N$1201,"Não")</f>
        <v>297</v>
      </c>
      <c r="X34" s="35" t="n">
        <f aca="false">COUNTIFS(01_Base!$B$2:$B$1201,"&gt;="&amp;$W$8,01_Base!$B$2:$B$1201,"&lt;="&amp;$W$9,01_Base!$C$2:$C$1201,$V34,01_Base!$D$2:$D$1201,$W$6,01_Base!$F$2:$F$1201,$W$7,01_Base!$N$2:$N$1201,"Sim")</f>
        <v>244</v>
      </c>
      <c r="Y34" s="39" t="n">
        <f aca="false">IF(W34=0,"",X34/W34)</f>
        <v>0.821548821548822</v>
      </c>
      <c r="Z34" s="42" t="n">
        <f aca="false">02_Parâmetros!$B$7</f>
        <v>0.92</v>
      </c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V35" s="16" t="str">
        <f aca="false">02_Parâmetros!$A$17</f>
        <v>Telefone</v>
      </c>
      <c r="W35" s="35" t="n">
        <f aca="false">COUNTIFS(01_Base!$B$2:$B$1201,"&gt;="&amp;$W$8,01_Base!$B$2:$B$1201,"&lt;="&amp;$W$9,01_Base!$C$2:$C$1201,$V35,01_Base!$D$2:$D$1201,$W$6,01_Base!$F$2:$F$1201,$W$7,01_Base!$N$2:$N$1201,"Sim")+COUNTIFS(01_Base!$B$2:$B$1201,"&gt;="&amp;$W$8,01_Base!$B$2:$B$1201,"&lt;="&amp;$W$9,01_Base!$C$2:$C$1201,$V35,01_Base!$D$2:$D$1201,$W$6,01_Base!$F$2:$F$1201,$W$7,01_Base!$N$2:$N$1201,"Não")</f>
        <v>177</v>
      </c>
      <c r="X35" s="35" t="n">
        <f aca="false">COUNTIFS(01_Base!$B$2:$B$1201,"&gt;="&amp;$W$8,01_Base!$B$2:$B$1201,"&lt;="&amp;$W$9,01_Base!$C$2:$C$1201,$V35,01_Base!$D$2:$D$1201,$W$6,01_Base!$F$2:$F$1201,$W$7,01_Base!$N$2:$N$1201,"Sim")</f>
        <v>155</v>
      </c>
      <c r="Y35" s="39" t="n">
        <f aca="false">IF(W35=0,"",X35/W35)</f>
        <v>0.875706214689266</v>
      </c>
      <c r="Z35" s="42" t="n">
        <f aca="false">02_Parâmetros!$B$7</f>
        <v>0.92</v>
      </c>
    </row>
    <row r="36" customFormat="false" ht="1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customFormat="false" ht="1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V38" s="41" t="s">
        <v>1308</v>
      </c>
      <c r="W38" s="41" t="s">
        <v>1309</v>
      </c>
      <c r="X38" s="41" t="s">
        <v>1310</v>
      </c>
      <c r="Y38" s="41" t="s">
        <v>1297</v>
      </c>
      <c r="Z38" s="41" t="s">
        <v>1311</v>
      </c>
      <c r="AA38" s="41" t="s">
        <v>1312</v>
      </c>
      <c r="AB38" s="41" t="s">
        <v>1299</v>
      </c>
    </row>
    <row r="39" customFormat="false" ht="1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V39" s="16" t="str">
        <f aca="false">02_Parâmetros!$A$37</f>
        <v>Atraso na entrega</v>
      </c>
      <c r="W39" s="35" t="n">
        <f aca="false">COUNTIFS(01_Base!$B$2:$B$1201,"&gt;="&amp;$W$8,01_Base!$B$2:$B$1201,"&lt;="&amp;$W$9,01_Base!$C$2:$C$1201,$W$5,01_Base!$D$2:$D$1201,$W$6,01_Base!$F$2:$F$1201,$V39,01_Base!$K$2:$K$1201,"&gt;=1")</f>
        <v>116</v>
      </c>
      <c r="X39" s="35" t="n">
        <f aca="false">COUNTIFS(01_Base!$B$2:$B$1201,"&gt;="&amp;$W$8,01_Base!$B$2:$B$1201,"&lt;="&amp;$W$9,01_Base!$C$2:$C$1201,$W$5,01_Base!$D$2:$D$1201,$W$6,01_Base!$F$2:$F$1201,$V39,01_Base!$K$2:$K$1201,"&gt;=4")</f>
        <v>84</v>
      </c>
      <c r="Y39" s="39" t="n">
        <f aca="false">IF(W39=0,"",X39/W39)</f>
        <v>0.724137931034483</v>
      </c>
      <c r="Z39" s="35" t="n">
        <f aca="false">COUNTIFS(01_Base!$B$2:$B$1201,"&gt;="&amp;$W$8,01_Base!$B$2:$B$1201,"&lt;="&amp;$W$9,01_Base!$C$2:$C$1201,$W$5,01_Base!$D$2:$D$1201,$W$6,01_Base!$F$2:$F$1201,$V39,01_Base!$G$2:$G$1201,"Resolvido")</f>
        <v>321</v>
      </c>
      <c r="AA39" s="35" t="n">
        <f aca="false">COUNTIFS(01_Base!$B$2:$B$1201,"&gt;="&amp;$W$8,01_Base!$B$2:$B$1201,"&lt;="&amp;$W$9,01_Base!$C$2:$C$1201,$W$5,01_Base!$D$2:$D$1201,$W$6,01_Base!$F$2:$F$1201,$V39,01_Base!$G$2:$G$1201,"Resolvido",01_Base!$J$2:$J$1201,"Sim")</f>
        <v>214</v>
      </c>
      <c r="AB39" s="39" t="n">
        <f aca="false">IF(Z39=0,"",AA39/Z39)</f>
        <v>0.666666666666667</v>
      </c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V40" s="16" t="str">
        <f aca="false">02_Parâmetros!$A$38</f>
        <v>Cobrança ou pagamento</v>
      </c>
      <c r="W40" s="35" t="n">
        <f aca="false">COUNTIFS(01_Base!$B$2:$B$1201,"&gt;="&amp;$W$8,01_Base!$B$2:$B$1201,"&lt;="&amp;$W$9,01_Base!$C$2:$C$1201,$W$5,01_Base!$D$2:$D$1201,$W$6,01_Base!$F$2:$F$1201,$V40,01_Base!$K$2:$K$1201,"&gt;=1")</f>
        <v>74</v>
      </c>
      <c r="X40" s="35" t="n">
        <f aca="false">COUNTIFS(01_Base!$B$2:$B$1201,"&gt;="&amp;$W$8,01_Base!$B$2:$B$1201,"&lt;="&amp;$W$9,01_Base!$C$2:$C$1201,$W$5,01_Base!$D$2:$D$1201,$W$6,01_Base!$F$2:$F$1201,$V40,01_Base!$K$2:$K$1201,"&gt;=4")</f>
        <v>55</v>
      </c>
      <c r="Y40" s="39" t="n">
        <f aca="false">IF(W40=0,"",X40/W40)</f>
        <v>0.743243243243243</v>
      </c>
      <c r="Z40" s="35" t="n">
        <f aca="false">COUNTIFS(01_Base!$B$2:$B$1201,"&gt;="&amp;$W$8,01_Base!$B$2:$B$1201,"&lt;="&amp;$W$9,01_Base!$C$2:$C$1201,$W$5,01_Base!$D$2:$D$1201,$W$6,01_Base!$F$2:$F$1201,$V40,01_Base!$G$2:$G$1201,"Resolvido")</f>
        <v>223</v>
      </c>
      <c r="AA40" s="35" t="n">
        <f aca="false">COUNTIFS(01_Base!$B$2:$B$1201,"&gt;="&amp;$W$8,01_Base!$B$2:$B$1201,"&lt;="&amp;$W$9,01_Base!$C$2:$C$1201,$W$5,01_Base!$D$2:$D$1201,$W$6,01_Base!$F$2:$F$1201,$V40,01_Base!$G$2:$G$1201,"Resolvido",01_Base!$J$2:$J$1201,"Sim")</f>
        <v>168</v>
      </c>
      <c r="AB40" s="39" t="n">
        <f aca="false">IF(Z40=0,"",AA40/Z40)</f>
        <v>0.753363228699552</v>
      </c>
    </row>
    <row r="41" customFormat="false" ht="1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V41" s="16" t="str">
        <f aca="false">02_Parâmetros!$A$39</f>
        <v>Produto incorreto ou avariado</v>
      </c>
      <c r="W41" s="35" t="n">
        <f aca="false">COUNTIFS(01_Base!$B$2:$B$1201,"&gt;="&amp;$W$8,01_Base!$B$2:$B$1201,"&lt;="&amp;$W$9,01_Base!$C$2:$C$1201,$W$5,01_Base!$D$2:$D$1201,$W$6,01_Base!$F$2:$F$1201,$V41,01_Base!$K$2:$K$1201,"&gt;=1")</f>
        <v>68</v>
      </c>
      <c r="X41" s="35" t="n">
        <f aca="false">COUNTIFS(01_Base!$B$2:$B$1201,"&gt;="&amp;$W$8,01_Base!$B$2:$B$1201,"&lt;="&amp;$W$9,01_Base!$C$2:$C$1201,$W$5,01_Base!$D$2:$D$1201,$W$6,01_Base!$F$2:$F$1201,$V41,01_Base!$K$2:$K$1201,"&gt;=4")</f>
        <v>56</v>
      </c>
      <c r="Y41" s="39" t="n">
        <f aca="false">IF(W41=0,"",X41/W41)</f>
        <v>0.823529411764706</v>
      </c>
      <c r="Z41" s="35" t="n">
        <f aca="false">COUNTIFS(01_Base!$B$2:$B$1201,"&gt;="&amp;$W$8,01_Base!$B$2:$B$1201,"&lt;="&amp;$W$9,01_Base!$C$2:$C$1201,$W$5,01_Base!$D$2:$D$1201,$W$6,01_Base!$F$2:$F$1201,$V41,01_Base!$G$2:$G$1201,"Resolvido")</f>
        <v>179</v>
      </c>
      <c r="AA41" s="35" t="n">
        <f aca="false">COUNTIFS(01_Base!$B$2:$B$1201,"&gt;="&amp;$W$8,01_Base!$B$2:$B$1201,"&lt;="&amp;$W$9,01_Base!$C$2:$C$1201,$W$5,01_Base!$D$2:$D$1201,$W$6,01_Base!$F$2:$F$1201,$V41,01_Base!$G$2:$G$1201,"Resolvido",01_Base!$J$2:$J$1201,"Sim")</f>
        <v>125</v>
      </c>
      <c r="AB41" s="39" t="n">
        <f aca="false">IF(Z41=0,"",AA41/Z41)</f>
        <v>0.698324022346369</v>
      </c>
    </row>
    <row r="42" customFormat="false" ht="1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V42" s="16" t="str">
        <f aca="false">02_Parâmetros!$A$40</f>
        <v>Dúvida sobre o pedido</v>
      </c>
      <c r="W42" s="35" t="n">
        <f aca="false">COUNTIFS(01_Base!$B$2:$B$1201,"&gt;="&amp;$W$8,01_Base!$B$2:$B$1201,"&lt;="&amp;$W$9,01_Base!$C$2:$C$1201,$W$5,01_Base!$D$2:$D$1201,$W$6,01_Base!$F$2:$F$1201,$V42,01_Base!$K$2:$K$1201,"&gt;=1")</f>
        <v>85</v>
      </c>
      <c r="X42" s="35" t="n">
        <f aca="false">COUNTIFS(01_Base!$B$2:$B$1201,"&gt;="&amp;$W$8,01_Base!$B$2:$B$1201,"&lt;="&amp;$W$9,01_Base!$C$2:$C$1201,$W$5,01_Base!$D$2:$D$1201,$W$6,01_Base!$F$2:$F$1201,$V42,01_Base!$K$2:$K$1201,"&gt;=4")</f>
        <v>77</v>
      </c>
      <c r="Y42" s="39" t="n">
        <f aca="false">IF(W42=0,"",X42/W42)</f>
        <v>0.905882352941177</v>
      </c>
      <c r="Z42" s="35" t="n">
        <f aca="false">COUNTIFS(01_Base!$B$2:$B$1201,"&gt;="&amp;$W$8,01_Base!$B$2:$B$1201,"&lt;="&amp;$W$9,01_Base!$C$2:$C$1201,$W$5,01_Base!$D$2:$D$1201,$W$6,01_Base!$F$2:$F$1201,$V42,01_Base!$G$2:$G$1201,"Resolvido")</f>
        <v>218</v>
      </c>
      <c r="AA42" s="35" t="n">
        <f aca="false">COUNTIFS(01_Base!$B$2:$B$1201,"&gt;="&amp;$W$8,01_Base!$B$2:$B$1201,"&lt;="&amp;$W$9,01_Base!$C$2:$C$1201,$W$5,01_Base!$D$2:$D$1201,$W$6,01_Base!$F$2:$F$1201,$V42,01_Base!$G$2:$G$1201,"Resolvido",01_Base!$J$2:$J$1201,"Sim")</f>
        <v>182</v>
      </c>
      <c r="AB42" s="39" t="n">
        <f aca="false">IF(Z42=0,"",AA42/Z42)</f>
        <v>0.834862385321101</v>
      </c>
    </row>
    <row r="43" customFormat="false" ht="1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V43" s="16" t="str">
        <f aca="false">02_Parâmetros!$A$41</f>
        <v>Cancelamento</v>
      </c>
      <c r="W43" s="35" t="n">
        <f aca="false">COUNTIFS(01_Base!$B$2:$B$1201,"&gt;="&amp;$W$8,01_Base!$B$2:$B$1201,"&lt;="&amp;$W$9,01_Base!$C$2:$C$1201,$W$5,01_Base!$D$2:$D$1201,$W$6,01_Base!$F$2:$F$1201,$V43,01_Base!$K$2:$K$1201,"&gt;=1")</f>
        <v>51</v>
      </c>
      <c r="X43" s="35" t="n">
        <f aca="false">COUNTIFS(01_Base!$B$2:$B$1201,"&gt;="&amp;$W$8,01_Base!$B$2:$B$1201,"&lt;="&amp;$W$9,01_Base!$C$2:$C$1201,$W$5,01_Base!$D$2:$D$1201,$W$6,01_Base!$F$2:$F$1201,$V43,01_Base!$K$2:$K$1201,"&gt;=4")</f>
        <v>44</v>
      </c>
      <c r="Y43" s="39" t="n">
        <f aca="false">IF(W43=0,"",X43/W43)</f>
        <v>0.862745098039216</v>
      </c>
      <c r="Z43" s="35" t="n">
        <f aca="false">COUNTIFS(01_Base!$B$2:$B$1201,"&gt;="&amp;$W$8,01_Base!$B$2:$B$1201,"&lt;="&amp;$W$9,01_Base!$C$2:$C$1201,$W$5,01_Base!$D$2:$D$1201,$W$6,01_Base!$F$2:$F$1201,$V43,01_Base!$G$2:$G$1201,"Resolvido")</f>
        <v>114</v>
      </c>
      <c r="AA43" s="35" t="n">
        <f aca="false">COUNTIFS(01_Base!$B$2:$B$1201,"&gt;="&amp;$W$8,01_Base!$B$2:$B$1201,"&lt;="&amp;$W$9,01_Base!$C$2:$C$1201,$W$5,01_Base!$D$2:$D$1201,$W$6,01_Base!$F$2:$F$1201,$V43,01_Base!$G$2:$G$1201,"Resolvido",01_Base!$J$2:$J$1201,"Sim")</f>
        <v>96</v>
      </c>
      <c r="AB43" s="39" t="n">
        <f aca="false">IF(Z43=0,"",AA43/Z43)</f>
        <v>0.842105263157895</v>
      </c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V44" s="16" t="str">
        <f aca="false">02_Parâmetros!$A$42</f>
        <v>Cadastro ou acesso</v>
      </c>
      <c r="W44" s="35" t="n">
        <f aca="false">COUNTIFS(01_Base!$B$2:$B$1201,"&gt;="&amp;$W$8,01_Base!$B$2:$B$1201,"&lt;="&amp;$W$9,01_Base!$C$2:$C$1201,$W$5,01_Base!$D$2:$D$1201,$W$6,01_Base!$F$2:$F$1201,$V44,01_Base!$K$2:$K$1201,"&gt;=1")</f>
        <v>36</v>
      </c>
      <c r="X44" s="35" t="n">
        <f aca="false">COUNTIFS(01_Base!$B$2:$B$1201,"&gt;="&amp;$W$8,01_Base!$B$2:$B$1201,"&lt;="&amp;$W$9,01_Base!$C$2:$C$1201,$W$5,01_Base!$D$2:$D$1201,$W$6,01_Base!$F$2:$F$1201,$V44,01_Base!$K$2:$K$1201,"&gt;=4")</f>
        <v>32</v>
      </c>
      <c r="Y44" s="39" t="n">
        <f aca="false">IF(W44=0,"",X44/W44)</f>
        <v>0.888888888888889</v>
      </c>
      <c r="Z44" s="35" t="n">
        <f aca="false">COUNTIFS(01_Base!$B$2:$B$1201,"&gt;="&amp;$W$8,01_Base!$B$2:$B$1201,"&lt;="&amp;$W$9,01_Base!$C$2:$C$1201,$W$5,01_Base!$D$2:$D$1201,$W$6,01_Base!$F$2:$F$1201,$V44,01_Base!$G$2:$G$1201,"Resolvido")</f>
        <v>107</v>
      </c>
      <c r="AA44" s="35" t="n">
        <f aca="false">COUNTIFS(01_Base!$B$2:$B$1201,"&gt;="&amp;$W$8,01_Base!$B$2:$B$1201,"&lt;="&amp;$W$9,01_Base!$C$2:$C$1201,$W$5,01_Base!$D$2:$D$1201,$W$6,01_Base!$F$2:$F$1201,$V44,01_Base!$G$2:$G$1201,"Resolvido",01_Base!$J$2:$J$1201,"Sim")</f>
        <v>95</v>
      </c>
      <c r="AB44" s="39" t="n">
        <f aca="false">IF(Z44=0,"",AA44/Z44)</f>
        <v>0.88785046728972</v>
      </c>
    </row>
    <row r="45" customFormat="false" ht="1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customFormat="false" ht="1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V47" s="41" t="s">
        <v>1313</v>
      </c>
      <c r="W47" s="41" t="s">
        <v>1291</v>
      </c>
      <c r="X47" s="41" t="s">
        <v>1314</v>
      </c>
      <c r="Y47" s="41" t="s">
        <v>1284</v>
      </c>
      <c r="Z47" s="41" t="s">
        <v>1243</v>
      </c>
      <c r="AA47" s="41" t="s">
        <v>1295</v>
      </c>
      <c r="AB47" s="41" t="s">
        <v>1296</v>
      </c>
      <c r="AC47" s="41" t="s">
        <v>1297</v>
      </c>
    </row>
    <row r="48" customFormat="false" ht="1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V48" s="16" t="str">
        <f aca="false">02_Parâmetros!$A$32</f>
        <v>Equipe A</v>
      </c>
      <c r="W48" s="35" t="n">
        <f aca="false">COUNTIFS(01_Base!$B$2:$B$1201,"&gt;="&amp;$W$8,01_Base!$B$2:$B$1201,"&lt;="&amp;$W$9,01_Base!$C$2:$C$1201,$W$5,01_Base!$D$2:$D$1201,$V48,01_Base!$F$2:$F$1201,$W$7,01_Base!$G$2:$G$1201,"Resolvido")</f>
        <v>411</v>
      </c>
      <c r="X48" s="43" t="n">
        <f aca="false">COUNTIF(02_Parâmetros!$B$21:$B$28,V48)</f>
        <v>3</v>
      </c>
      <c r="Y48" s="38" t="n">
        <f aca="false">IF(OR(X48=0,$W$11=0),0,W48/(X48*$W$11))</f>
        <v>3.11363636363636</v>
      </c>
      <c r="Z48" s="40" t="n">
        <f aca="false">02_Parâmetros!$B$8</f>
        <v>3.5</v>
      </c>
      <c r="AA48" s="35" t="n">
        <f aca="false">COUNTIFS(01_Base!$B$2:$B$1201,"&gt;="&amp;$W$8,01_Base!$B$2:$B$1201,"&lt;="&amp;$W$9,01_Base!$C$2:$C$1201,$W$5,01_Base!$D$2:$D$1201,$V48,01_Base!$F$2:$F$1201,$W$7,01_Base!$K$2:$K$1201,"&gt;=1")</f>
        <v>136</v>
      </c>
      <c r="AB48" s="35" t="n">
        <f aca="false">COUNTIFS(01_Base!$B$2:$B$1201,"&gt;="&amp;$W$8,01_Base!$B$2:$B$1201,"&lt;="&amp;$W$9,01_Base!$C$2:$C$1201,$W$5,01_Base!$D$2:$D$1201,$V48,01_Base!$F$2:$F$1201,$W$7,01_Base!$K$2:$K$1201,"&gt;=4")</f>
        <v>119</v>
      </c>
      <c r="AC48" s="39" t="n">
        <f aca="false">IF(AA48=0,"",AB48/AA48)</f>
        <v>0.875</v>
      </c>
    </row>
    <row r="49" customFormat="false" ht="1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V49" s="16" t="str">
        <f aca="false">02_Parâmetros!$A$33</f>
        <v>Equipe B</v>
      </c>
      <c r="W49" s="35" t="n">
        <f aca="false">COUNTIFS(01_Base!$B$2:$B$1201,"&gt;="&amp;$W$8,01_Base!$B$2:$B$1201,"&lt;="&amp;$W$9,01_Base!$C$2:$C$1201,$W$5,01_Base!$D$2:$D$1201,$V49,01_Base!$F$2:$F$1201,$W$7,01_Base!$G$2:$G$1201,"Resolvido")</f>
        <v>409</v>
      </c>
      <c r="X49" s="43" t="n">
        <f aca="false">COUNTIF(02_Parâmetros!$B$21:$B$28,V49)</f>
        <v>3</v>
      </c>
      <c r="Y49" s="38" t="n">
        <f aca="false">IF(OR(X49=0,$W$11=0),0,W49/(X49*$W$11))</f>
        <v>3.09848484848485</v>
      </c>
      <c r="Z49" s="40" t="n">
        <f aca="false">02_Parâmetros!$B$8</f>
        <v>3.5</v>
      </c>
      <c r="AA49" s="35" t="n">
        <f aca="false">COUNTIFS(01_Base!$B$2:$B$1201,"&gt;="&amp;$W$8,01_Base!$B$2:$B$1201,"&lt;="&amp;$W$9,01_Base!$C$2:$C$1201,$W$5,01_Base!$D$2:$D$1201,$V49,01_Base!$F$2:$F$1201,$W$7,01_Base!$K$2:$K$1201,"&gt;=1")</f>
        <v>165</v>
      </c>
      <c r="AB49" s="35" t="n">
        <f aca="false">COUNTIFS(01_Base!$B$2:$B$1201,"&gt;="&amp;$W$8,01_Base!$B$2:$B$1201,"&lt;="&amp;$W$9,01_Base!$C$2:$C$1201,$W$5,01_Base!$D$2:$D$1201,$V49,01_Base!$F$2:$F$1201,$W$7,01_Base!$K$2:$K$1201,"&gt;=4")</f>
        <v>125</v>
      </c>
      <c r="AC49" s="39" t="n">
        <f aca="false">IF(AA49=0,"",AB49/AA49)</f>
        <v>0.757575757575758</v>
      </c>
    </row>
    <row r="50" customFormat="false" ht="1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V50" s="16" t="str">
        <f aca="false">02_Parâmetros!$A$34</f>
        <v>Equipe C</v>
      </c>
      <c r="W50" s="35" t="n">
        <f aca="false">COUNTIFS(01_Base!$B$2:$B$1201,"&gt;="&amp;$W$8,01_Base!$B$2:$B$1201,"&lt;="&amp;$W$9,01_Base!$C$2:$C$1201,$W$5,01_Base!$D$2:$D$1201,$V50,01_Base!$F$2:$F$1201,$W$7,01_Base!$G$2:$G$1201,"Resolvido")</f>
        <v>342</v>
      </c>
      <c r="X50" s="43" t="n">
        <f aca="false">COUNTIF(02_Parâmetros!$B$21:$B$28,V50)</f>
        <v>2</v>
      </c>
      <c r="Y50" s="38" t="n">
        <f aca="false">IF(OR(X50=0,$W$11=0),0,W50/(X50*$W$11))</f>
        <v>3.88636363636364</v>
      </c>
      <c r="Z50" s="40" t="n">
        <f aca="false">02_Parâmetros!$B$8</f>
        <v>3.5</v>
      </c>
      <c r="AA50" s="35" t="n">
        <f aca="false">COUNTIFS(01_Base!$B$2:$B$1201,"&gt;="&amp;$W$8,01_Base!$B$2:$B$1201,"&lt;="&amp;$W$9,01_Base!$C$2:$C$1201,$W$5,01_Base!$D$2:$D$1201,$V50,01_Base!$F$2:$F$1201,$W$7,01_Base!$K$2:$K$1201,"&gt;=1")</f>
        <v>129</v>
      </c>
      <c r="AB50" s="35" t="n">
        <f aca="false">COUNTIFS(01_Base!$B$2:$B$1201,"&gt;="&amp;$W$8,01_Base!$B$2:$B$1201,"&lt;="&amp;$W$9,01_Base!$C$2:$C$1201,$W$5,01_Base!$D$2:$D$1201,$V50,01_Base!$F$2:$F$1201,$W$7,01_Base!$K$2:$K$1201,"&gt;=4")</f>
        <v>104</v>
      </c>
      <c r="AC50" s="39" t="n">
        <f aca="false">IF(AA50=0,"",AB50/AA50)</f>
        <v>0.806201550387597</v>
      </c>
    </row>
    <row r="51" customFormat="false" ht="24" hidden="false" customHeight="true" outlineLevel="0" collapsed="false">
      <c r="A51" s="19"/>
      <c r="B51" s="44" t="s">
        <v>1315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19"/>
    </row>
    <row r="52" customFormat="false" ht="42" hidden="false" customHeight="true" outlineLevel="0" collapsed="false">
      <c r="A52" s="19"/>
      <c r="B52" s="45" t="s">
        <v>1316</v>
      </c>
      <c r="C52" s="45"/>
      <c r="D52" s="46" t="str">
        <f aca="false">IFERROR(IF($W$14=0,"Sem dados com esses filtros.","Indicadores abaixo da meta: "&amp;COUNTIF($B$13:$S$13,"Abaixo")&amp;"; em atenção: "&amp;COUNTIF($B$13:$S$13,"Atenção")&amp;". Menor SLA: "&amp;INDEX($V$32:$V$35,MATCH(MIN($Y$32:$Y$35),$Y$32:$Y$35,0))&amp;" ("&amp;ROUND(MIN($Y$32:$Y$35)*100,0)&amp;"%). Menor CSAT por motivo: "&amp;INDEX($V$39:$V$44,MATCH(MIN($Y$39:$Y$44),$Y$39:$Y$44,0))&amp;" ("&amp;ROUND(MIN($Y$39:$Y$44)*100,0)&amp;"%). Menor FCR por motivo: "&amp;INDEX($V$39:$V$44,MATCH(MIN($AB$39:$AB$44),$AB$39:$AB$44,0))&amp;" ("&amp;ROUND(MIN($AB$39:$AB$44)*100,0)&amp;"%). Menor CSAT por equipe: "&amp;INDEX($V$48:$V$50,MATCH(MIN($AC$48:$AC$50),$AC$48:$AC$50,0))&amp;" ("&amp;ROUND(MIN($AC$48:$AC$50)*100,0)&amp;"%)."),"Poucos dados com esses filtros para o diagnóstico.")</f>
        <v>Indicadores abaixo da meta: 2; em atenção: 4. Menor SLA: E-mail (82%). Menor CSAT por motivo: Atraso na entrega (72%). Menor FCR por motivo: Atraso na entrega (67%). Menor CSAT por equipe: Equipe B (76%).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19"/>
    </row>
    <row r="53" customFormat="false" ht="42" hidden="false" customHeight="true" outlineLevel="0" collapsed="false">
      <c r="A53" s="19"/>
      <c r="B53" s="45" t="s">
        <v>1317</v>
      </c>
      <c r="C53" s="45"/>
      <c r="D53" s="46" t="str">
        <f aca="false">IF($W$14=0,"Sem dados.","Gap de SLA: "&amp;ROUND(MAX(0,02_Parâmetros!$B$7-$W$19)*100,1)&amp;" p.p. Gap de CSAT: "&amp;ROUND(MAX(0,02_Parâmetros!$B$9-$W$22)*100,1)&amp;" p.p. Gap de FCR: "&amp;ROUND(MAX(0,02_Parâmetros!$B$10-$W$24)*100,1)&amp;" p.p. TMA "&amp;IF($W$16&gt;02_Parâmetros!$B$6,"acima da meta em "&amp;ROUND($W$16-02_Parâmetros!$B$6,1)&amp;" min.","dentro da meta."))</f>
        <v>Gap de SLA: 3.9 p.p. Gap de CSAT: 4.1 p.p. Gap de FCR: 2.3 p.p. TMA acima da meta em 0.5 min.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19"/>
      <c r="V53" s="41" t="s">
        <v>1318</v>
      </c>
      <c r="W53" s="41" t="s">
        <v>1288</v>
      </c>
      <c r="X53" s="41" t="s">
        <v>1319</v>
      </c>
      <c r="Y53" s="41" t="s">
        <v>1292</v>
      </c>
      <c r="Z53" s="41" t="s">
        <v>1320</v>
      </c>
      <c r="AA53" s="41" t="s">
        <v>1294</v>
      </c>
      <c r="AB53" s="41" t="s">
        <v>1321</v>
      </c>
    </row>
    <row r="54" customFormat="false" ht="42" hidden="false" customHeight="true" outlineLevel="0" collapsed="false">
      <c r="A54" s="19"/>
      <c r="B54" s="45" t="s">
        <v>1322</v>
      </c>
      <c r="C54" s="45"/>
      <c r="D54" s="46" t="str">
        <f aca="false">IFERROR(IF($W$14=0,"","SLA: "&amp;IF($B$13="Sem dados","","")&amp;IF($H$13="Na meta","na meta, manter a distribuição atual.","priorizar a fila de "&amp;INDEX($V$32:$V$35,MATCH(MIN($Y$32:$Y$35),$Y$32:$Y$35,0))&amp;" e rever a distribuição de demanda por horário. Se "&amp;INDEX($V$48:$V$50,MATCH(MAX($Y$48:$Y$50),$Y$48:$Y$50,0))&amp;" segue com a maior carga por atendente, redistribuir parte do volume.")),"Poucos dados com esses filtros para o diagnóstico.")</f>
        <v>SLA: priorizar a fila de E-mail e rever a distribuição de demanda por horário. Se Equipe C segue com a maior carga por atendente, redistribuir parte do volume.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19"/>
      <c r="V54" s="47" t="n">
        <f aca="false">MIN(01_Base!$B$2:$B$1201)-WEEKDAY(MIN(01_Base!$B$2:$B$1201),2)+1</f>
        <v>46265</v>
      </c>
      <c r="W54" s="35" t="n">
        <f aca="false">COUNTIFS(01_Base!$B$2:$B$1201,"&gt;="&amp;$W$8,01_Base!$B$2:$B$1201,"&lt;="&amp;$W$9,01_Base!$C$2:$C$1201,$W$5,01_Base!$D$2:$D$1201,$W$6,01_Base!$F$2:$F$1201,$W$7,01_Base!$L$2:$L$1201,$V54)</f>
        <v>108</v>
      </c>
      <c r="X54" s="43" t="n">
        <f aca="false">$W$26*5</f>
        <v>140</v>
      </c>
      <c r="Y54" s="35" t="n">
        <f aca="false">COUNTIFS(01_Base!$B$2:$B$1201,"&gt;="&amp;$W$8,01_Base!$B$2:$B$1201,"&lt;="&amp;$W$9,01_Base!$C$2:$C$1201,$W$5,01_Base!$D$2:$D$1201,$W$6,01_Base!$F$2:$F$1201,$W$7,01_Base!$L$2:$L$1201,$V54,01_Base!$N$2:$N$1201,"Sim")+COUNTIFS(01_Base!$B$2:$B$1201,"&gt;="&amp;$W$8,01_Base!$B$2:$B$1201,"&lt;="&amp;$W$9,01_Base!$C$2:$C$1201,$W$5,01_Base!$D$2:$D$1201,$W$6,01_Base!$F$2:$F$1201,$W$7,01_Base!$L$2:$L$1201,$V54,01_Base!$N$2:$N$1201,"Não")</f>
        <v>105</v>
      </c>
      <c r="Z54" s="35" t="n">
        <f aca="false">COUNTIFS(01_Base!$B$2:$B$1201,"&gt;="&amp;$W$8,01_Base!$B$2:$B$1201,"&lt;="&amp;$W$9,01_Base!$C$2:$C$1201,$W$5,01_Base!$D$2:$D$1201,$W$6,01_Base!$F$2:$F$1201,$W$7,01_Base!$L$2:$L$1201,$V54,01_Base!$N$2:$N$1201,"Sim")</f>
        <v>92</v>
      </c>
      <c r="AA54" s="39" t="n">
        <f aca="false">IF(Y54=0,0,Z54/Y54)</f>
        <v>0.876190476190476</v>
      </c>
      <c r="AB54" s="42" t="n">
        <f aca="false">02_Parâmetros!$B$7</f>
        <v>0.92</v>
      </c>
    </row>
    <row r="55" customFormat="false" ht="42" hidden="false" customHeight="true" outlineLevel="0" collapsed="false">
      <c r="A55" s="19"/>
      <c r="B55" s="45" t="s">
        <v>1323</v>
      </c>
      <c r="C55" s="45"/>
      <c r="D55" s="46" t="str">
        <f aca="false">IFERROR(IF($W$14=0,"","CSAT e FCR: "&amp;IF(AND($N$13="Na meta",$Q$13="Na meta"),"na meta nos dois.","reforçar roteiro e autonomia de resolução em "&amp;INDEX($V$39:$V$44,MATCH(MIN($AB$39:$AB$44),$AB$39:$AB$44,0))&amp;" e dar feedback individual à "&amp;INDEX($V$48:$V$50,MATCH(MIN($AC$48:$AC$50),$AC$48:$AC$50,0))&amp;", que tem o menor CSAT.")),"Poucos dados com esses filtros para o diagnóstico.")</f>
        <v>CSAT e FCR: reforçar roteiro e autonomia de resolução em Atraso na entrega e dar feedback individual à Equipe B, que tem o menor CSAT.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19"/>
      <c r="V55" s="47" t="n">
        <f aca="false">V54+7</f>
        <v>46272</v>
      </c>
      <c r="W55" s="35" t="n">
        <f aca="false">COUNTIFS(01_Base!$B$2:$B$1201,"&gt;="&amp;$W$8,01_Base!$B$2:$B$1201,"&lt;="&amp;$W$9,01_Base!$C$2:$C$1201,$W$5,01_Base!$D$2:$D$1201,$W$6,01_Base!$F$2:$F$1201,$W$7,01_Base!$L$2:$L$1201,$V55)</f>
        <v>134</v>
      </c>
      <c r="X55" s="43" t="n">
        <f aca="false">$W$26*5</f>
        <v>140</v>
      </c>
      <c r="Y55" s="35" t="n">
        <f aca="false">COUNTIFS(01_Base!$B$2:$B$1201,"&gt;="&amp;$W$8,01_Base!$B$2:$B$1201,"&lt;="&amp;$W$9,01_Base!$C$2:$C$1201,$W$5,01_Base!$D$2:$D$1201,$W$6,01_Base!$F$2:$F$1201,$W$7,01_Base!$L$2:$L$1201,$V55,01_Base!$N$2:$N$1201,"Sim")+COUNTIFS(01_Base!$B$2:$B$1201,"&gt;="&amp;$W$8,01_Base!$B$2:$B$1201,"&lt;="&amp;$W$9,01_Base!$C$2:$C$1201,$W$5,01_Base!$D$2:$D$1201,$W$6,01_Base!$F$2:$F$1201,$W$7,01_Base!$L$2:$L$1201,$V55,01_Base!$N$2:$N$1201,"Não")</f>
        <v>130</v>
      </c>
      <c r="Z55" s="35" t="n">
        <f aca="false">COUNTIFS(01_Base!$B$2:$B$1201,"&gt;="&amp;$W$8,01_Base!$B$2:$B$1201,"&lt;="&amp;$W$9,01_Base!$C$2:$C$1201,$W$5,01_Base!$D$2:$D$1201,$W$6,01_Base!$F$2:$F$1201,$W$7,01_Base!$L$2:$L$1201,$V55,01_Base!$N$2:$N$1201,"Sim")</f>
        <v>116</v>
      </c>
      <c r="AA55" s="39" t="n">
        <f aca="false">IF(Y55=0,0,Z55/Y55)</f>
        <v>0.892307692307692</v>
      </c>
      <c r="AB55" s="42" t="n">
        <f aca="false">02_Parâmetros!$B$7</f>
        <v>0.92</v>
      </c>
    </row>
    <row r="56" customFormat="false" ht="42" hidden="false" customHeight="true" outlineLevel="0" collapsed="false">
      <c r="A56" s="19"/>
      <c r="B56" s="45" t="s">
        <v>1324</v>
      </c>
      <c r="C56" s="45"/>
      <c r="D56" s="46" t="str">
        <f aca="false">IF($W$14=0,"","Capacidade: "&amp;IF($W$28&gt;1,"volume acima da capacidade estimada, ajustar escala ou priorização.",IF($W$28&gt;02_Parâmetros!$B$5,"utilização próxima do limite, preparar reforço para semanas de pico (a maior começa em "&amp;DAY(INDEX($V$54:$V$62,MATCH(MAX($W$54:$W$62),$W$54:$W$62,0)))&amp;"/"&amp;MONTH(INDEX($V$54:$V$62,MATCH(MAX($W$54:$W$62),$W$54:$W$62,0)))&amp;").","há folga de capacidade.")))</f>
        <v>Capacidade: utilização próxima do limite, preparar reforço para semanas de pico (a maior começa em 12/10).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19"/>
      <c r="V56" s="47" t="n">
        <f aca="false">V55+7</f>
        <v>46279</v>
      </c>
      <c r="W56" s="35" t="n">
        <f aca="false">COUNTIFS(01_Base!$B$2:$B$1201,"&gt;="&amp;$W$8,01_Base!$B$2:$B$1201,"&lt;="&amp;$W$9,01_Base!$C$2:$C$1201,$W$5,01_Base!$D$2:$D$1201,$W$6,01_Base!$F$2:$F$1201,$W$7,01_Base!$L$2:$L$1201,$V56)</f>
        <v>132</v>
      </c>
      <c r="X56" s="43" t="n">
        <f aca="false">$W$26*5</f>
        <v>140</v>
      </c>
      <c r="Y56" s="35" t="n">
        <f aca="false">COUNTIFS(01_Base!$B$2:$B$1201,"&gt;="&amp;$W$8,01_Base!$B$2:$B$1201,"&lt;="&amp;$W$9,01_Base!$C$2:$C$1201,$W$5,01_Base!$D$2:$D$1201,$W$6,01_Base!$F$2:$F$1201,$W$7,01_Base!$L$2:$L$1201,$V56,01_Base!$N$2:$N$1201,"Sim")+COUNTIFS(01_Base!$B$2:$B$1201,"&gt;="&amp;$W$8,01_Base!$B$2:$B$1201,"&lt;="&amp;$W$9,01_Base!$C$2:$C$1201,$W$5,01_Base!$D$2:$D$1201,$W$6,01_Base!$F$2:$F$1201,$W$7,01_Base!$L$2:$L$1201,$V56,01_Base!$N$2:$N$1201,"Não")</f>
        <v>125</v>
      </c>
      <c r="Z56" s="35" t="n">
        <f aca="false">COUNTIFS(01_Base!$B$2:$B$1201,"&gt;="&amp;$W$8,01_Base!$B$2:$B$1201,"&lt;="&amp;$W$9,01_Base!$C$2:$C$1201,$W$5,01_Base!$D$2:$D$1201,$W$6,01_Base!$F$2:$F$1201,$W$7,01_Base!$L$2:$L$1201,$V56,01_Base!$N$2:$N$1201,"Sim")</f>
        <v>110</v>
      </c>
      <c r="AA56" s="39" t="n">
        <f aca="false">IF(Y56=0,0,Z56/Y56)</f>
        <v>0.88</v>
      </c>
      <c r="AB56" s="42" t="n">
        <f aca="false">02_Parâmetros!$B$7</f>
        <v>0.92</v>
      </c>
    </row>
    <row r="57" customFormat="false" ht="42" hidden="false" customHeight="true" outlineLevel="0" collapsed="false">
      <c r="A57" s="19"/>
      <c r="B57" s="45" t="s">
        <v>1325</v>
      </c>
      <c r="C57" s="45"/>
      <c r="D57" s="46" t="str">
        <f aca="false">"Acompanhar toda semana na mesma data de corte. SLA semanal na meta em "&amp;SUMPRODUCT(($Y$54:$Y$62&gt;0)*($AA$54:$AA$62&gt;=02_Parâmetros!$B$7))&amp;" de "&amp;COUNTIF($Y$54:$Y$62,"&gt;0")&amp;" semanas do período. A melhoria só conta como sustentável com 3 semanas seguidas na meta."</f>
        <v>Acompanhar toda semana na mesma data de corte. SLA semanal na meta em 2 de 9 semanas do período. A melhoria só conta como sustentável com 3 semanas seguidas na meta.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19"/>
      <c r="V57" s="47" t="n">
        <f aca="false">V56+7</f>
        <v>46286</v>
      </c>
      <c r="W57" s="35" t="n">
        <f aca="false">COUNTIFS(01_Base!$B$2:$B$1201,"&gt;="&amp;$W$8,01_Base!$B$2:$B$1201,"&lt;="&amp;$W$9,01_Base!$C$2:$C$1201,$W$5,01_Base!$D$2:$D$1201,$W$6,01_Base!$F$2:$F$1201,$W$7,01_Base!$L$2:$L$1201,$V57)</f>
        <v>150</v>
      </c>
      <c r="X57" s="43" t="n">
        <f aca="false">$W$26*5</f>
        <v>140</v>
      </c>
      <c r="Y57" s="35" t="n">
        <f aca="false">COUNTIFS(01_Base!$B$2:$B$1201,"&gt;="&amp;$W$8,01_Base!$B$2:$B$1201,"&lt;="&amp;$W$9,01_Base!$C$2:$C$1201,$W$5,01_Base!$D$2:$D$1201,$W$6,01_Base!$F$2:$F$1201,$W$7,01_Base!$L$2:$L$1201,$V57,01_Base!$N$2:$N$1201,"Sim")+COUNTIFS(01_Base!$B$2:$B$1201,"&gt;="&amp;$W$8,01_Base!$B$2:$B$1201,"&lt;="&amp;$W$9,01_Base!$C$2:$C$1201,$W$5,01_Base!$D$2:$D$1201,$W$6,01_Base!$F$2:$F$1201,$W$7,01_Base!$L$2:$L$1201,$V57,01_Base!$N$2:$N$1201,"Não")</f>
        <v>146</v>
      </c>
      <c r="Z57" s="35" t="n">
        <f aca="false">COUNTIFS(01_Base!$B$2:$B$1201,"&gt;="&amp;$W$8,01_Base!$B$2:$B$1201,"&lt;="&amp;$W$9,01_Base!$C$2:$C$1201,$W$5,01_Base!$D$2:$D$1201,$W$6,01_Base!$F$2:$F$1201,$W$7,01_Base!$L$2:$L$1201,$V57,01_Base!$N$2:$N$1201,"Sim")</f>
        <v>127</v>
      </c>
      <c r="AA57" s="39" t="n">
        <f aca="false">IF(Y57=0,0,Z57/Y57)</f>
        <v>0.86986301369863</v>
      </c>
      <c r="AB57" s="42" t="n">
        <f aca="false">02_Parâmetros!$B$7</f>
        <v>0.92</v>
      </c>
    </row>
    <row r="58" customFormat="false" ht="15" hidden="false" customHeight="fals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V58" s="47" t="n">
        <f aca="false">V57+7</f>
        <v>46293</v>
      </c>
      <c r="W58" s="35" t="n">
        <f aca="false">COUNTIFS(01_Base!$B$2:$B$1201,"&gt;="&amp;$W$8,01_Base!$B$2:$B$1201,"&lt;="&amp;$W$9,01_Base!$C$2:$C$1201,$W$5,01_Base!$D$2:$D$1201,$W$6,01_Base!$F$2:$F$1201,$W$7,01_Base!$L$2:$L$1201,$V58)</f>
        <v>139</v>
      </c>
      <c r="X58" s="43" t="n">
        <f aca="false">$W$26*5</f>
        <v>140</v>
      </c>
      <c r="Y58" s="35" t="n">
        <f aca="false">COUNTIFS(01_Base!$B$2:$B$1201,"&gt;="&amp;$W$8,01_Base!$B$2:$B$1201,"&lt;="&amp;$W$9,01_Base!$C$2:$C$1201,$W$5,01_Base!$D$2:$D$1201,$W$6,01_Base!$F$2:$F$1201,$W$7,01_Base!$L$2:$L$1201,$V58,01_Base!$N$2:$N$1201,"Sim")+COUNTIFS(01_Base!$B$2:$B$1201,"&gt;="&amp;$W$8,01_Base!$B$2:$B$1201,"&lt;="&amp;$W$9,01_Base!$C$2:$C$1201,$W$5,01_Base!$D$2:$D$1201,$W$6,01_Base!$F$2:$F$1201,$W$7,01_Base!$L$2:$L$1201,$V58,01_Base!$N$2:$N$1201,"Não")</f>
        <v>136</v>
      </c>
      <c r="Z58" s="35" t="n">
        <f aca="false">COUNTIFS(01_Base!$B$2:$B$1201,"&gt;="&amp;$W$8,01_Base!$B$2:$B$1201,"&lt;="&amp;$W$9,01_Base!$C$2:$C$1201,$W$5,01_Base!$D$2:$D$1201,$W$6,01_Base!$F$2:$F$1201,$W$7,01_Base!$L$2:$L$1201,$V58,01_Base!$N$2:$N$1201,"Sim")</f>
        <v>121</v>
      </c>
      <c r="AA58" s="39" t="n">
        <f aca="false">IF(Y58=0,0,Z58/Y58)</f>
        <v>0.889705882352941</v>
      </c>
      <c r="AB58" s="42" t="n">
        <f aca="false">02_Parâmetros!$B$7</f>
        <v>0.92</v>
      </c>
    </row>
    <row r="59" customFormat="false" ht="15" hidden="false" customHeight="false" outlineLevel="0" collapsed="false">
      <c r="A59" s="19"/>
      <c r="B59" s="48" t="s">
        <v>1326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V59" s="47" t="n">
        <f aca="false">V58+7</f>
        <v>46300</v>
      </c>
      <c r="W59" s="35" t="n">
        <f aca="false">COUNTIFS(01_Base!$B$2:$B$1201,"&gt;="&amp;$W$8,01_Base!$B$2:$B$1201,"&lt;="&amp;$W$9,01_Base!$C$2:$C$1201,$W$5,01_Base!$D$2:$D$1201,$W$6,01_Base!$F$2:$F$1201,$W$7,01_Base!$L$2:$L$1201,$V59)</f>
        <v>122</v>
      </c>
      <c r="X59" s="43" t="n">
        <f aca="false">$W$26*5</f>
        <v>140</v>
      </c>
      <c r="Y59" s="35" t="n">
        <f aca="false">COUNTIFS(01_Base!$B$2:$B$1201,"&gt;="&amp;$W$8,01_Base!$B$2:$B$1201,"&lt;="&amp;$W$9,01_Base!$C$2:$C$1201,$W$5,01_Base!$D$2:$D$1201,$W$6,01_Base!$F$2:$F$1201,$W$7,01_Base!$L$2:$L$1201,$V59,01_Base!$N$2:$N$1201,"Sim")+COUNTIFS(01_Base!$B$2:$B$1201,"&gt;="&amp;$W$8,01_Base!$B$2:$B$1201,"&lt;="&amp;$W$9,01_Base!$C$2:$C$1201,$W$5,01_Base!$D$2:$D$1201,$W$6,01_Base!$F$2:$F$1201,$W$7,01_Base!$L$2:$L$1201,$V59,01_Base!$N$2:$N$1201,"Não")</f>
        <v>119</v>
      </c>
      <c r="Z59" s="35" t="n">
        <f aca="false">COUNTIFS(01_Base!$B$2:$B$1201,"&gt;="&amp;$W$8,01_Base!$B$2:$B$1201,"&lt;="&amp;$W$9,01_Base!$C$2:$C$1201,$W$5,01_Base!$D$2:$D$1201,$W$6,01_Base!$F$2:$F$1201,$W$7,01_Base!$L$2:$L$1201,$V59,01_Base!$N$2:$N$1201,"Sim")</f>
        <v>104</v>
      </c>
      <c r="AA59" s="39" t="n">
        <f aca="false">IF(Y59=0,0,Z59/Y59)</f>
        <v>0.873949579831933</v>
      </c>
      <c r="AB59" s="42" t="n">
        <f aca="false">02_Parâmetros!$B$7</f>
        <v>0.92</v>
      </c>
    </row>
    <row r="60" customFormat="false" ht="15" hidden="false" customHeight="false" outlineLevel="0" collapsed="false">
      <c r="A60" s="19"/>
      <c r="B60" s="49" t="s">
        <v>1327</v>
      </c>
      <c r="C60" s="49"/>
      <c r="D60" s="49"/>
      <c r="E60" s="49"/>
      <c r="F60" s="49"/>
      <c r="G60" s="49"/>
      <c r="H60" s="49"/>
      <c r="I60" s="49"/>
      <c r="J60" s="49" t="s">
        <v>1328</v>
      </c>
      <c r="K60" s="49"/>
      <c r="L60" s="49"/>
      <c r="M60" s="49" t="s">
        <v>1329</v>
      </c>
      <c r="N60" s="49"/>
      <c r="O60" s="49"/>
      <c r="P60" s="49" t="s">
        <v>1330</v>
      </c>
      <c r="Q60" s="49"/>
      <c r="R60" s="49"/>
      <c r="S60" s="49"/>
      <c r="T60" s="19"/>
      <c r="V60" s="47" t="n">
        <f aca="false">V59+7</f>
        <v>46307</v>
      </c>
      <c r="W60" s="35" t="n">
        <f aca="false">COUNTIFS(01_Base!$B$2:$B$1201,"&gt;="&amp;$W$8,01_Base!$B$2:$B$1201,"&lt;="&amp;$W$9,01_Base!$C$2:$C$1201,$W$5,01_Base!$D$2:$D$1201,$W$6,01_Base!$F$2:$F$1201,$W$7,01_Base!$L$2:$L$1201,$V60)</f>
        <v>166</v>
      </c>
      <c r="X60" s="43" t="n">
        <f aca="false">$W$26*5</f>
        <v>140</v>
      </c>
      <c r="Y60" s="35" t="n">
        <f aca="false">COUNTIFS(01_Base!$B$2:$B$1201,"&gt;="&amp;$W$8,01_Base!$B$2:$B$1201,"&lt;="&amp;$W$9,01_Base!$C$2:$C$1201,$W$5,01_Base!$D$2:$D$1201,$W$6,01_Base!$F$2:$F$1201,$W$7,01_Base!$L$2:$L$1201,$V60,01_Base!$N$2:$N$1201,"Sim")+COUNTIFS(01_Base!$B$2:$B$1201,"&gt;="&amp;$W$8,01_Base!$B$2:$B$1201,"&lt;="&amp;$W$9,01_Base!$C$2:$C$1201,$W$5,01_Base!$D$2:$D$1201,$W$6,01_Base!$F$2:$F$1201,$W$7,01_Base!$L$2:$L$1201,$V60,01_Base!$N$2:$N$1201,"Não")</f>
        <v>162</v>
      </c>
      <c r="Z60" s="35" t="n">
        <f aca="false">COUNTIFS(01_Base!$B$2:$B$1201,"&gt;="&amp;$W$8,01_Base!$B$2:$B$1201,"&lt;="&amp;$W$9,01_Base!$C$2:$C$1201,$W$5,01_Base!$D$2:$D$1201,$W$6,01_Base!$F$2:$F$1201,$W$7,01_Base!$L$2:$L$1201,$V60,01_Base!$N$2:$N$1201,"Sim")</f>
        <v>133</v>
      </c>
      <c r="AA60" s="39" t="n">
        <f aca="false">IF(Y60=0,0,Z60/Y60)</f>
        <v>0.820987654320988</v>
      </c>
      <c r="AB60" s="42" t="n">
        <f aca="false">02_Parâmetros!$B$7</f>
        <v>0.92</v>
      </c>
    </row>
    <row r="61" customFormat="false" ht="15" hidden="false" customHeight="false" outlineLevel="0" collapsed="false">
      <c r="A61" s="19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1"/>
      <c r="N61" s="51"/>
      <c r="O61" s="51"/>
      <c r="P61" s="50"/>
      <c r="Q61" s="50"/>
      <c r="R61" s="50"/>
      <c r="S61" s="50"/>
      <c r="T61" s="19"/>
      <c r="V61" s="47" t="n">
        <f aca="false">V60+7</f>
        <v>46314</v>
      </c>
      <c r="W61" s="35" t="n">
        <f aca="false">COUNTIFS(01_Base!$B$2:$B$1201,"&gt;="&amp;$W$8,01_Base!$B$2:$B$1201,"&lt;="&amp;$W$9,01_Base!$C$2:$C$1201,$W$5,01_Base!$D$2:$D$1201,$W$6,01_Base!$F$2:$F$1201,$W$7,01_Base!$L$2:$L$1201,$V61)</f>
        <v>131</v>
      </c>
      <c r="X61" s="43" t="n">
        <f aca="false">$W$26*5</f>
        <v>140</v>
      </c>
      <c r="Y61" s="35" t="n">
        <f aca="false">COUNTIFS(01_Base!$B$2:$B$1201,"&gt;="&amp;$W$8,01_Base!$B$2:$B$1201,"&lt;="&amp;$W$9,01_Base!$C$2:$C$1201,$W$5,01_Base!$D$2:$D$1201,$W$6,01_Base!$F$2:$F$1201,$W$7,01_Base!$L$2:$L$1201,$V61,01_Base!$N$2:$N$1201,"Sim")+COUNTIFS(01_Base!$B$2:$B$1201,"&gt;="&amp;$W$8,01_Base!$B$2:$B$1201,"&lt;="&amp;$W$9,01_Base!$C$2:$C$1201,$W$5,01_Base!$D$2:$D$1201,$W$6,01_Base!$F$2:$F$1201,$W$7,01_Base!$L$2:$L$1201,$V61,01_Base!$N$2:$N$1201,"Não")</f>
        <v>127</v>
      </c>
      <c r="Z61" s="35" t="n">
        <f aca="false">COUNTIFS(01_Base!$B$2:$B$1201,"&gt;="&amp;$W$8,01_Base!$B$2:$B$1201,"&lt;="&amp;$W$9,01_Base!$C$2:$C$1201,$W$5,01_Base!$D$2:$D$1201,$W$6,01_Base!$F$2:$F$1201,$W$7,01_Base!$L$2:$L$1201,$V61,01_Base!$N$2:$N$1201,"Sim")</f>
        <v>118</v>
      </c>
      <c r="AA61" s="39" t="n">
        <f aca="false">IF(Y61=0,0,Z61/Y61)</f>
        <v>0.929133858267717</v>
      </c>
      <c r="AB61" s="42" t="n">
        <f aca="false">02_Parâmetros!$B$7</f>
        <v>0.92</v>
      </c>
    </row>
    <row r="62" customFormat="false" ht="15" hidden="false" customHeight="false" outlineLevel="0" collapsed="false">
      <c r="A62" s="19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1"/>
      <c r="N62" s="51"/>
      <c r="O62" s="51"/>
      <c r="P62" s="50"/>
      <c r="Q62" s="50"/>
      <c r="R62" s="50"/>
      <c r="S62" s="50"/>
      <c r="T62" s="19"/>
      <c r="V62" s="47" t="n">
        <f aca="false">V61+7</f>
        <v>46321</v>
      </c>
      <c r="W62" s="35" t="n">
        <f aca="false">COUNTIFS(01_Base!$B$2:$B$1201,"&gt;="&amp;$W$8,01_Base!$B$2:$B$1201,"&lt;="&amp;$W$9,01_Base!$C$2:$C$1201,$W$5,01_Base!$D$2:$D$1201,$W$6,01_Base!$F$2:$F$1201,$W$7,01_Base!$L$2:$L$1201,$V62)</f>
        <v>118</v>
      </c>
      <c r="X62" s="43" t="n">
        <f aca="false">$W$26*5</f>
        <v>140</v>
      </c>
      <c r="Y62" s="35" t="n">
        <f aca="false">COUNTIFS(01_Base!$B$2:$B$1201,"&gt;="&amp;$W$8,01_Base!$B$2:$B$1201,"&lt;="&amp;$W$9,01_Base!$C$2:$C$1201,$W$5,01_Base!$D$2:$D$1201,$W$6,01_Base!$F$2:$F$1201,$W$7,01_Base!$L$2:$L$1201,$V62,01_Base!$N$2:$N$1201,"Sim")+COUNTIFS(01_Base!$B$2:$B$1201,"&gt;="&amp;$W$8,01_Base!$B$2:$B$1201,"&lt;="&amp;$W$9,01_Base!$C$2:$C$1201,$W$5,01_Base!$D$2:$D$1201,$W$6,01_Base!$F$2:$F$1201,$W$7,01_Base!$L$2:$L$1201,$V62,01_Base!$N$2:$N$1201,"Não")</f>
        <v>114</v>
      </c>
      <c r="Z62" s="35" t="n">
        <f aca="false">COUNTIFS(01_Base!$B$2:$B$1201,"&gt;="&amp;$W$8,01_Base!$B$2:$B$1201,"&lt;="&amp;$W$9,01_Base!$C$2:$C$1201,$W$5,01_Base!$D$2:$D$1201,$W$6,01_Base!$F$2:$F$1201,$W$7,01_Base!$L$2:$L$1201,$V62,01_Base!$N$2:$N$1201,"Sim")</f>
        <v>105</v>
      </c>
      <c r="AA62" s="39" t="n">
        <f aca="false">IF(Y62=0,0,Z62/Y62)</f>
        <v>0.921052631578947</v>
      </c>
      <c r="AB62" s="42" t="n">
        <f aca="false">02_Parâmetros!$B$7</f>
        <v>0.92</v>
      </c>
    </row>
    <row r="63" customFormat="false" ht="15" hidden="false" customHeight="false" outlineLevel="0" collapsed="false">
      <c r="A63" s="19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1"/>
      <c r="N63" s="51"/>
      <c r="O63" s="51"/>
      <c r="P63" s="50"/>
      <c r="Q63" s="50"/>
      <c r="R63" s="50"/>
      <c r="S63" s="50"/>
      <c r="T63" s="19"/>
    </row>
    <row r="64" customFormat="false" ht="15" hidden="false" customHeight="false" outlineLevel="0" collapsed="false">
      <c r="A64" s="1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1"/>
      <c r="N64" s="51"/>
      <c r="O64" s="51"/>
      <c r="P64" s="50"/>
      <c r="Q64" s="50"/>
      <c r="R64" s="50"/>
      <c r="S64" s="50"/>
      <c r="T64" s="19"/>
    </row>
    <row r="65" customFormat="false" ht="15" hidden="false" customHeight="fals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customFormat="false" ht="25.5" hidden="false" customHeight="true" outlineLevel="0" collapsed="false">
      <c r="A66" s="19"/>
      <c r="B66" s="52" t="s">
        <v>1331</v>
      </c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19"/>
    </row>
    <row r="67" customFormat="false" ht="25.5" hidden="false" customHeight="true" outlineLevel="0" collapsed="false">
      <c r="A67" s="19"/>
      <c r="B67" s="52" t="s">
        <v>1332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19"/>
    </row>
    <row r="68" customFormat="false" ht="25.5" hidden="false" customHeight="true" outlineLevel="0" collapsed="false">
      <c r="A68" s="19"/>
      <c r="B68" s="52" t="s">
        <v>1333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19"/>
    </row>
    <row r="69" customFormat="false" ht="15" hidden="false" customHeight="fals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</sheetData>
  <mergeCells count="76">
    <mergeCell ref="B2:S2"/>
    <mergeCell ref="B3:S3"/>
    <mergeCell ref="B6:C6"/>
    <mergeCell ref="D6:E6"/>
    <mergeCell ref="G6:I6"/>
    <mergeCell ref="K6:M6"/>
    <mergeCell ref="O6:S6"/>
    <mergeCell ref="B7:S7"/>
    <mergeCell ref="B9:D9"/>
    <mergeCell ref="E9:G9"/>
    <mergeCell ref="H9:J9"/>
    <mergeCell ref="K9:M9"/>
    <mergeCell ref="N9:P9"/>
    <mergeCell ref="Q9:S9"/>
    <mergeCell ref="B10:D11"/>
    <mergeCell ref="E10:G11"/>
    <mergeCell ref="H10:J11"/>
    <mergeCell ref="K10:M11"/>
    <mergeCell ref="N10:P11"/>
    <mergeCell ref="Q10:S11"/>
    <mergeCell ref="B12:D12"/>
    <mergeCell ref="E12:G12"/>
    <mergeCell ref="H12:J12"/>
    <mergeCell ref="K12:M12"/>
    <mergeCell ref="N12:P12"/>
    <mergeCell ref="Q12:S12"/>
    <mergeCell ref="B13:D13"/>
    <mergeCell ref="E13:G13"/>
    <mergeCell ref="H13:J13"/>
    <mergeCell ref="K13:M13"/>
    <mergeCell ref="N13:P13"/>
    <mergeCell ref="Q13:S13"/>
    <mergeCell ref="B15:J15"/>
    <mergeCell ref="K15:S15"/>
    <mergeCell ref="B16:J16"/>
    <mergeCell ref="K16:S16"/>
    <mergeCell ref="B33:J33"/>
    <mergeCell ref="K33:S33"/>
    <mergeCell ref="B34:J34"/>
    <mergeCell ref="K34:S34"/>
    <mergeCell ref="B51:S51"/>
    <mergeCell ref="B52:C52"/>
    <mergeCell ref="D52:S52"/>
    <mergeCell ref="B53:C53"/>
    <mergeCell ref="D53:S53"/>
    <mergeCell ref="B54:C54"/>
    <mergeCell ref="D54:S54"/>
    <mergeCell ref="B55:C55"/>
    <mergeCell ref="D55:S55"/>
    <mergeCell ref="B56:C56"/>
    <mergeCell ref="D56:S56"/>
    <mergeCell ref="B57:C57"/>
    <mergeCell ref="D57:S57"/>
    <mergeCell ref="B60:I60"/>
    <mergeCell ref="J60:L60"/>
    <mergeCell ref="M60:O60"/>
    <mergeCell ref="P60:S60"/>
    <mergeCell ref="B61:I61"/>
    <mergeCell ref="J61:L61"/>
    <mergeCell ref="M61:O61"/>
    <mergeCell ref="P61:S61"/>
    <mergeCell ref="B62:I62"/>
    <mergeCell ref="J62:L62"/>
    <mergeCell ref="M62:O62"/>
    <mergeCell ref="P62:S62"/>
    <mergeCell ref="B63:I63"/>
    <mergeCell ref="J63:L63"/>
    <mergeCell ref="M63:O63"/>
    <mergeCell ref="P63:S63"/>
    <mergeCell ref="B64:I64"/>
    <mergeCell ref="J64:L64"/>
    <mergeCell ref="M64:O64"/>
    <mergeCell ref="P64:S64"/>
    <mergeCell ref="B66:S66"/>
    <mergeCell ref="B67:S67"/>
    <mergeCell ref="B68:S68"/>
  </mergeCells>
  <conditionalFormatting sqref="B13:S13">
    <cfRule type="cellIs" priority="2" operator="equal" aboveAverage="0" equalAverage="0" bottom="0" percent="0" rank="0" text="" dxfId="2">
      <formula>"Na meta"</formula>
    </cfRule>
    <cfRule type="cellIs" priority="3" operator="equal" aboveAverage="0" equalAverage="0" bottom="0" percent="0" rank="0" text="" dxfId="3">
      <formula>"Atenção"</formula>
    </cfRule>
    <cfRule type="cellIs" priority="4" operator="equal" aboveAverage="0" equalAverage="0" bottom="0" percent="0" rank="0" text="" dxfId="4">
      <formula>"Abaixo"</formula>
    </cfRule>
  </conditionalFormatting>
  <dataValidations count="6">
    <dataValidation allowBlank="true" error="Escolha um item da lista." errorStyle="stop" errorTitle="Valor inválido" operator="between" showDropDown="false" showErrorMessage="true" showInputMessage="false" sqref="G6" type="list">
      <formula1>"Todos,WhatsApp,Chat,E-mail,Telefone"</formula1>
      <formula2>0</formula2>
    </dataValidation>
    <dataValidation allowBlank="true" error="Escolha um item da lista." errorStyle="stop" errorTitle="Valor inválido" operator="between" showDropDown="false" showErrorMessage="true" showInputMessage="false" sqref="K6" type="list">
      <formula1>"Todos,Equipe A,Equipe B,Equipe C"</formula1>
      <formula2>0</formula2>
    </dataValidation>
    <dataValidation allowBlank="true" error="Escolha um item da lista." errorStyle="stop" errorTitle="Valor inválido" operator="between" showDropDown="false" showErrorMessage="true" showInputMessage="false" sqref="O6" type="list">
      <formula1>"Todos,Atraso na entrega,Cobrança ou pagamento,Produto incorreto ou avariado,Dúvida sobre o pedido,Cancelamento,Cadastro ou acesso"</formula1>
      <formula2>0</formula2>
    </dataValidation>
    <dataValidation allowBlank="false" error="Informe uma data dentro do período da base." errorStyle="stop" errorTitle="Data fora da base" operator="between" showDropDown="false" showErrorMessage="true" showInputMessage="false" sqref="B6" type="date">
      <formula1>02_Parâmetros!$B$46</formula1>
      <formula2>02_Parâmetros!$B$47</formula2>
    </dataValidation>
    <dataValidation allowBlank="false" error="Informe uma data dentro do período da base." errorStyle="stop" errorTitle="Data fora da base" operator="between" showDropDown="false" showErrorMessage="true" showInputMessage="false" sqref="D6" type="date">
      <formula1>02_Parâmetros!$B$46</formula1>
      <formula2>02_Parâmetros!$B$47</formula2>
    </dataValidation>
    <dataValidation allowBlank="true" errorStyle="stop" operator="between" showDropDown="false" showErrorMessage="false" showInputMessage="false" sqref="P61:P64" type="list">
      <formula1>"A fazer,Em andamento,Concluída"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8"/>
    <col collapsed="false" customWidth="true" hidden="false" outlineLevel="0" max="4" min="4" style="0" width="5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5" t="s">
        <v>1334</v>
      </c>
    </row>
    <row r="2" customFormat="false" ht="15" hidden="false" customHeight="false" outlineLevel="0" collapsed="false">
      <c r="A2" s="7" t="s">
        <v>1335</v>
      </c>
    </row>
    <row r="3" customFormat="false" ht="15" hidden="false" customHeight="false" outlineLevel="0" collapsed="false">
      <c r="A3" s="53" t="str">
        <f aca="false">IF(COUNTIF(E6:E40,"Divergente")=0,"Todos os testes passaram","Há testes divergentes: revisar")</f>
        <v>Todos os testes passaram</v>
      </c>
    </row>
    <row r="5" customFormat="false" ht="15" hidden="false" customHeight="false" outlineLevel="0" collapsed="false">
      <c r="A5" s="8" t="s">
        <v>1336</v>
      </c>
      <c r="B5" s="8" t="s">
        <v>1337</v>
      </c>
      <c r="C5" s="8" t="s">
        <v>1338</v>
      </c>
      <c r="D5" s="8" t="s">
        <v>1263</v>
      </c>
      <c r="E5" s="8" t="s">
        <v>1330</v>
      </c>
    </row>
    <row r="6" customFormat="false" ht="15" hidden="false" customHeight="false" outlineLevel="0" collapsed="false">
      <c r="A6" s="17" t="s">
        <v>1339</v>
      </c>
      <c r="B6" s="17" t="n">
        <f aca="false">COUNTA(01_Base!$A$2:$A$1201)</f>
        <v>1200</v>
      </c>
      <c r="C6" s="17" t="n">
        <v>1200</v>
      </c>
      <c r="D6" s="17" t="s">
        <v>1340</v>
      </c>
      <c r="E6" s="11" t="str">
        <f aca="false">IF(B6=C6,"OK","Divergente")</f>
        <v>OK</v>
      </c>
    </row>
    <row r="7" customFormat="false" ht="15" hidden="false" customHeight="false" outlineLevel="0" collapsed="false">
      <c r="A7" s="17" t="s">
        <v>1341</v>
      </c>
      <c r="B7" s="17" t="n">
        <f aca="false">SUMPRODUCT(--(COUNTIF(01_Base!$A$2:$A$1201,01_Base!$A$2:$A$1201)&gt;1))</f>
        <v>0</v>
      </c>
      <c r="C7" s="17" t="n">
        <v>0</v>
      </c>
      <c r="D7" s="17"/>
      <c r="E7" s="11" t="str">
        <f aca="false">IF(B7=C7,"OK","Divergente")</f>
        <v>OK</v>
      </c>
    </row>
    <row r="8" customFormat="false" ht="15" hidden="false" customHeight="false" outlineLevel="0" collapsed="false">
      <c r="A8" s="17" t="s">
        <v>1342</v>
      </c>
      <c r="B8" s="17" t="n">
        <f aca="false">COUNTIFS(01_Base!$B$2:$B$1201,"&lt;"&amp;DATE(2026,9,1))+COUNTIFS(01_Base!$B$2:$B$1201,"&gt;"&amp;DATE(2026,10,30))</f>
        <v>0</v>
      </c>
      <c r="C8" s="17" t="n">
        <v>0</v>
      </c>
      <c r="D8" s="17" t="s">
        <v>1343</v>
      </c>
      <c r="E8" s="11" t="str">
        <f aca="false">IF(B8=C8,"OK","Divergente")</f>
        <v>OK</v>
      </c>
    </row>
    <row r="9" customFormat="false" ht="15" hidden="false" customHeight="false" outlineLevel="0" collapsed="false">
      <c r="A9" s="17" t="s">
        <v>1344</v>
      </c>
      <c r="B9" s="17" t="n">
        <f aca="false">COUNTBLANK(01_Base!$A$2:$G$1201)</f>
        <v>0</v>
      </c>
      <c r="C9" s="17" t="n">
        <v>0</v>
      </c>
      <c r="D9" s="17" t="s">
        <v>1345</v>
      </c>
      <c r="E9" s="11" t="str">
        <f aca="false">IF(B9=C9,"OK","Divergente")</f>
        <v>OK</v>
      </c>
    </row>
    <row r="10" customFormat="false" ht="15" hidden="false" customHeight="false" outlineLevel="0" collapsed="false">
      <c r="A10" s="17" t="s">
        <v>1346</v>
      </c>
      <c r="B10" s="17" t="n">
        <f aca="false">SUMPRODUCT(--(COUNTIF(02_Parâmetros!$A$14:$A$17,01_Base!$C$2:$C$1201)=0))</f>
        <v>0</v>
      </c>
      <c r="C10" s="17" t="n">
        <v>0</v>
      </c>
      <c r="D10" s="17"/>
      <c r="E10" s="11" t="str">
        <f aca="false">IF(B10=C10,"OK","Divergente")</f>
        <v>OK</v>
      </c>
    </row>
    <row r="11" customFormat="false" ht="15" hidden="false" customHeight="false" outlineLevel="0" collapsed="false">
      <c r="A11" s="17" t="s">
        <v>1347</v>
      </c>
      <c r="B11" s="17" t="n">
        <f aca="false">SUMPRODUCT(--(COUNTIF(02_Parâmetros!$A$32:$A$34,01_Base!$D$2:$D$1201)=0))</f>
        <v>0</v>
      </c>
      <c r="C11" s="17" t="n">
        <v>0</v>
      </c>
      <c r="D11" s="17"/>
      <c r="E11" s="11" t="str">
        <f aca="false">IF(B11=C11,"OK","Divergente")</f>
        <v>OK</v>
      </c>
    </row>
    <row r="12" customFormat="false" ht="15" hidden="false" customHeight="false" outlineLevel="0" collapsed="false">
      <c r="A12" s="17" t="s">
        <v>1348</v>
      </c>
      <c r="B12" s="17" t="n">
        <f aca="false">SUMPRODUCT(--(COUNTIF(02_Parâmetros!$A$37:$A$42,01_Base!$F$2:$F$1201)=0))</f>
        <v>0</v>
      </c>
      <c r="C12" s="17" t="n">
        <v>0</v>
      </c>
      <c r="D12" s="17"/>
      <c r="E12" s="11" t="str">
        <f aca="false">IF(B12=C12,"OK","Divergente")</f>
        <v>OK</v>
      </c>
    </row>
    <row r="13" customFormat="false" ht="15" hidden="false" customHeight="false" outlineLevel="0" collapsed="false">
      <c r="A13" s="17" t="s">
        <v>1349</v>
      </c>
      <c r="B13" s="17" t="n">
        <f aca="false">SUMPRODUCT((01_Base!$G$2:$G$1201&lt;&gt;"Resolvido")*(01_Base!$G$2:$G$1201&lt;&gt;"Pendente"))</f>
        <v>0</v>
      </c>
      <c r="C13" s="17" t="n">
        <v>0</v>
      </c>
      <c r="D13" s="17"/>
      <c r="E13" s="11" t="str">
        <f aca="false">IF(B13=C13,"OK","Divergente")</f>
        <v>OK</v>
      </c>
    </row>
    <row r="14" customFormat="false" ht="15" hidden="false" customHeight="false" outlineLevel="0" collapsed="false">
      <c r="A14" s="17" t="s">
        <v>1350</v>
      </c>
      <c r="B14" s="17" t="n">
        <f aca="false">SUMPRODUCT(--(COUNTIFS(02_Parâmetros!$A$21:$A$28,01_Base!$E$2:$E$1201,02_Parâmetros!$B$21:$B$28,01_Base!$D$2:$D$1201)=0))</f>
        <v>0</v>
      </c>
      <c r="C14" s="17" t="n">
        <v>0</v>
      </c>
      <c r="D14" s="17"/>
      <c r="E14" s="11" t="str">
        <f aca="false">IF(B14=C14,"OK","Divergente")</f>
        <v>OK</v>
      </c>
    </row>
    <row r="15" customFormat="false" ht="15" hidden="false" customHeight="false" outlineLevel="0" collapsed="false">
      <c r="A15" s="17" t="s">
        <v>1351</v>
      </c>
      <c r="B15" s="17" t="n">
        <f aca="false">COUNTIFS(01_Base!$K$2:$K$1201,"&lt;1")+COUNTIFS(01_Base!$K$2:$K$1201,"&gt;5")</f>
        <v>0</v>
      </c>
      <c r="C15" s="17" t="n">
        <v>0</v>
      </c>
      <c r="D15" s="17"/>
      <c r="E15" s="11" t="str">
        <f aca="false">IF(B15=C15,"OK","Divergente")</f>
        <v>OK</v>
      </c>
    </row>
    <row r="16" customFormat="false" ht="15" hidden="false" customHeight="false" outlineLevel="0" collapsed="false">
      <c r="A16" s="17" t="s">
        <v>1352</v>
      </c>
      <c r="B16" s="17" t="n">
        <f aca="false">COUNTIFS(01_Base!$G$2:$G$1201,"Resolvido",01_Base!$I$2:$I$1201,"&lt;=0")</f>
        <v>0</v>
      </c>
      <c r="C16" s="17" t="n">
        <v>0</v>
      </c>
      <c r="D16" s="17"/>
      <c r="E16" s="11" t="str">
        <f aca="false">IF(B16=C16,"OK","Divergente")</f>
        <v>OK</v>
      </c>
    </row>
    <row r="17" customFormat="false" ht="15" hidden="false" customHeight="false" outlineLevel="0" collapsed="false">
      <c r="A17" s="17" t="s">
        <v>1353</v>
      </c>
      <c r="B17" s="17" t="n">
        <f aca="false">COUNTIFS(01_Base!$G$2:$G$1201,"Pendente",01_Base!$J$2:$J$1201,"&lt;&gt;")</f>
        <v>0</v>
      </c>
      <c r="C17" s="17" t="n">
        <v>0</v>
      </c>
      <c r="D17" s="17" t="s">
        <v>1354</v>
      </c>
      <c r="E17" s="11" t="str">
        <f aca="false">IF(B17=C17,"OK","Divergente")</f>
        <v>OK</v>
      </c>
    </row>
    <row r="18" customFormat="false" ht="15" hidden="false" customHeight="false" outlineLevel="0" collapsed="false">
      <c r="A18" s="17" t="s">
        <v>1355</v>
      </c>
      <c r="B18" s="17" t="n">
        <f aca="false">COUNTIFS(01_Base!$G$2:$G$1201,"Resolvido",01_Base!$J$2:$J$1201,"")</f>
        <v>0</v>
      </c>
      <c r="C18" s="17" t="n">
        <v>0</v>
      </c>
      <c r="D18" s="17"/>
      <c r="E18" s="11" t="str">
        <f aca="false">IF(B18=C18,"OK","Divergente")</f>
        <v>OK</v>
      </c>
    </row>
    <row r="19" customFormat="false" ht="15" hidden="false" customHeight="false" outlineLevel="0" collapsed="false">
      <c r="A19" s="2"/>
      <c r="B19" s="2"/>
      <c r="C19" s="2"/>
      <c r="D19" s="2"/>
      <c r="E19" s="54"/>
    </row>
    <row r="20" customFormat="false" ht="15" hidden="false" customHeight="false" outlineLevel="0" collapsed="false">
      <c r="A20" s="55" t="s">
        <v>1356</v>
      </c>
      <c r="B20" s="2"/>
      <c r="C20" s="2"/>
      <c r="D20" s="2"/>
      <c r="E20" s="54"/>
    </row>
    <row r="21" customFormat="false" ht="15" hidden="false" customHeight="false" outlineLevel="0" collapsed="false">
      <c r="A21" s="8" t="s">
        <v>1242</v>
      </c>
      <c r="B21" s="8" t="s">
        <v>1357</v>
      </c>
      <c r="C21" s="8" t="s">
        <v>1358</v>
      </c>
      <c r="D21" s="8" t="s">
        <v>1359</v>
      </c>
      <c r="E21" s="56" t="s">
        <v>1330</v>
      </c>
    </row>
    <row r="22" customFormat="false" ht="15" hidden="false" customHeight="false" outlineLevel="0" collapsed="false">
      <c r="A22" s="17" t="s">
        <v>1288</v>
      </c>
      <c r="B22" s="57" t="n">
        <f aca="false">03_Dashboard!$W$14</f>
        <v>1200</v>
      </c>
      <c r="C22" s="57" t="n">
        <f aca="false">IFERROR(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),"n/d")</f>
        <v>1200</v>
      </c>
      <c r="D22" s="58" t="n">
        <f aca="false">IFERROR(B22-C22,"n/d")</f>
        <v>0</v>
      </c>
      <c r="E22" s="11" t="str">
        <f aca="false">IF(ISNUMBER(D22),IF(ABS(D22)&lt;0.000000001,"OK","Divergente"),"OK")</f>
        <v>OK</v>
      </c>
    </row>
    <row r="23" customFormat="false" ht="15" hidden="false" customHeight="false" outlineLevel="0" collapsed="false">
      <c r="A23" s="17" t="s">
        <v>1250</v>
      </c>
      <c r="B23" s="59" t="n">
        <f aca="false">03_Dashboard!$W$16</f>
        <v>9.52788296041308</v>
      </c>
      <c r="C23" s="59" t="n">
        <f aca="false">IFERROR(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G$2:$G$1201="Resolvido")*01_Base!$I$2:$I$1201)/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G$2:$G$1201="Resolvido")),"n/d")</f>
        <v>9.52788296041308</v>
      </c>
      <c r="D23" s="58" t="n">
        <f aca="false">IFERROR(B23-C23,"n/d")</f>
        <v>0</v>
      </c>
      <c r="E23" s="11" t="str">
        <f aca="false">IF(ISNUMBER(D23),IF(ABS(D23)&lt;0.000000001,"OK","Divergente"),"OK")</f>
        <v>OK</v>
      </c>
    </row>
    <row r="24" customFormat="false" ht="15" hidden="false" customHeight="false" outlineLevel="0" collapsed="false">
      <c r="A24" s="17" t="s">
        <v>1252</v>
      </c>
      <c r="B24" s="60" t="n">
        <f aca="false">03_Dashboard!$W$19</f>
        <v>0.881443298969072</v>
      </c>
      <c r="C24" s="60" t="n">
        <f aca="false">IFERROR(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N$2:$N$1201="Sim"))/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N$2:$N$1201&lt;&gt;"")),"n/d")</f>
        <v>0.881443298969072</v>
      </c>
      <c r="D24" s="58" t="n">
        <f aca="false">IFERROR(B24-C24,"n/d")</f>
        <v>0</v>
      </c>
      <c r="E24" s="11" t="str">
        <f aca="false">IF(ISNUMBER(D24),IF(ABS(D24)&lt;0.000000001,"OK","Divergente"),"OK")</f>
        <v>OK</v>
      </c>
    </row>
    <row r="25" customFormat="false" ht="15" hidden="false" customHeight="false" outlineLevel="0" collapsed="false">
      <c r="A25" s="17" t="s">
        <v>1284</v>
      </c>
      <c r="B25" s="59" t="n">
        <f aca="false">03_Dashboard!$W$25</f>
        <v>3.30113636363636</v>
      </c>
      <c r="C25" s="59" t="n">
        <f aca="false">IFERROR(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G$2:$G$1201="Resolvido"))/(IF(03_Dashboard!$K$6="Todos",ROWS(02_Parâmetros!$A$21:$A$28),SUMPRODUCT(--(02_Parâmetros!$B$21:$B$28=03_Dashboard!$K$6)))*NETWORKDAYS(03_Dashboard!$B$6,03_Dashboard!$D$6)),"n/d")</f>
        <v>3.30113636363636</v>
      </c>
      <c r="D25" s="58" t="n">
        <f aca="false">IFERROR(B25-C25,"n/d")</f>
        <v>0</v>
      </c>
      <c r="E25" s="11" t="str">
        <f aca="false">IF(ISNUMBER(D25),IF(ABS(D25)&lt;0.000000001,"OK","Divergente"),"OK")</f>
        <v>OK</v>
      </c>
    </row>
    <row r="26" customFormat="false" ht="15" hidden="false" customHeight="false" outlineLevel="0" collapsed="false">
      <c r="A26" s="17" t="s">
        <v>1257</v>
      </c>
      <c r="B26" s="60" t="n">
        <f aca="false">03_Dashboard!$W$22</f>
        <v>0.809302325581395</v>
      </c>
      <c r="C26" s="60" t="n">
        <f aca="false">IFERROR(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K$2:$K$1201&gt;=4))/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K$2:$K$1201&lt;&gt;"")),"n/d")</f>
        <v>0.809302325581395</v>
      </c>
      <c r="D26" s="58" t="n">
        <f aca="false">IFERROR(B26-C26,"n/d")</f>
        <v>0</v>
      </c>
      <c r="E26" s="11" t="str">
        <f aca="false">IF(ISNUMBER(D26),IF(ABS(D26)&lt;0.000000001,"OK","Divergente"),"OK")</f>
        <v>OK</v>
      </c>
    </row>
    <row r="27" customFormat="false" ht="15" hidden="false" customHeight="false" outlineLevel="0" collapsed="false">
      <c r="A27" s="17" t="s">
        <v>1259</v>
      </c>
      <c r="B27" s="60" t="n">
        <f aca="false">03_Dashboard!$W$24</f>
        <v>0.757314974182444</v>
      </c>
      <c r="C27" s="60" t="n">
        <f aca="false">IFERROR(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G$2:$G$1201="Resolvido")*(01_Base!$J$2:$J$1201="Sim"))/SUMPRODUCT((((01_Base!$C$2:$C$1201=03_Dashboard!$G$6)+(03_Dashboard!$G$6="Todos"))&gt;0)*(((01_Base!$D$2:$D$1201=03_Dashboard!$K$6)+(03_Dashboard!$K$6="Todos"))&gt;0)*(((01_Base!$F$2:$F$1201=03_Dashboard!$O$6)+(03_Dashboard!$O$6="Todos"))&gt;0)*(01_Base!$B$2:$B$1201&gt;=03_Dashboard!$B$6)*(01_Base!$B$2:$B$1201&lt;=03_Dashboard!$D$6)*(01_Base!$G$2:$G$1201="Resolvido")),"n/d")</f>
        <v>0.757314974182444</v>
      </c>
      <c r="D27" s="58" t="n">
        <f aca="false">IFERROR(B27-C27,"n/d")</f>
        <v>0</v>
      </c>
      <c r="E27" s="11" t="str">
        <f aca="false">IF(ISNUMBER(D27),IF(ABS(D27)&lt;0.000000001,"OK","Divergente"),"OK")</f>
        <v>OK</v>
      </c>
    </row>
    <row r="28" customFormat="false" ht="15" hidden="false" customHeight="false" outlineLevel="0" collapsed="false">
      <c r="A28" s="2"/>
      <c r="B28" s="2"/>
      <c r="C28" s="2"/>
      <c r="D28" s="2"/>
      <c r="E28" s="54"/>
    </row>
    <row r="29" customFormat="false" ht="15" hidden="false" customHeight="false" outlineLevel="0" collapsed="false">
      <c r="A29" s="55" t="s">
        <v>1360</v>
      </c>
      <c r="B29" s="2"/>
      <c r="C29" s="2"/>
      <c r="D29" s="2"/>
      <c r="E29" s="54"/>
    </row>
    <row r="30" customFormat="false" ht="15" hidden="false" customHeight="false" outlineLevel="0" collapsed="false">
      <c r="A30" s="8" t="s">
        <v>1242</v>
      </c>
      <c r="B30" s="8" t="s">
        <v>1357</v>
      </c>
      <c r="C30" s="8" t="s">
        <v>1361</v>
      </c>
      <c r="D30" s="8" t="s">
        <v>1263</v>
      </c>
      <c r="E30" s="56" t="s">
        <v>1330</v>
      </c>
    </row>
    <row r="31" customFormat="false" ht="15" hidden="false" customHeight="false" outlineLevel="0" collapsed="false">
      <c r="A31" s="17" t="s">
        <v>1288</v>
      </c>
      <c r="B31" s="57" t="n">
        <f aca="false">03_Dashboard!$W$14</f>
        <v>1200</v>
      </c>
      <c r="C31" s="57" t="n">
        <v>1200</v>
      </c>
      <c r="D31" s="17" t="s">
        <v>1362</v>
      </c>
      <c r="E31" s="11" t="str">
        <f aca="false">IF(AND(03_Dashboard!$G$6="Todos",03_Dashboard!$K$6="Todos",03_Dashboard!$O$6="Todos",03_Dashboard!$B$6=02_Parâmetros!$B$46,03_Dashboard!$D$6=02_Parâmetros!$B$47),IF(ROUND(B31,0)=C31,"OK","Divergente"),"OK")</f>
        <v>OK</v>
      </c>
    </row>
    <row r="32" customFormat="false" ht="15" hidden="false" customHeight="false" outlineLevel="0" collapsed="false">
      <c r="A32" s="17" t="s">
        <v>1250</v>
      </c>
      <c r="B32" s="59" t="n">
        <f aca="false">03_Dashboard!$W$16</f>
        <v>9.52788296041308</v>
      </c>
      <c r="C32" s="59" t="n">
        <v>9.5279</v>
      </c>
      <c r="D32" s="17" t="s">
        <v>1362</v>
      </c>
      <c r="E32" s="11" t="str">
        <f aca="false">IF(AND(03_Dashboard!$G$6="Todos",03_Dashboard!$K$6="Todos",03_Dashboard!$O$6="Todos",03_Dashboard!$B$6=02_Parâmetros!$B$46,03_Dashboard!$D$6=02_Parâmetros!$B$47),IF(ROUND(B32,4)=C32,"OK","Divergente"),"OK")</f>
        <v>OK</v>
      </c>
    </row>
    <row r="33" customFormat="false" ht="15" hidden="false" customHeight="false" outlineLevel="0" collapsed="false">
      <c r="A33" s="17" t="s">
        <v>1252</v>
      </c>
      <c r="B33" s="59" t="n">
        <f aca="false">03_Dashboard!$W$19</f>
        <v>0.881443298969072</v>
      </c>
      <c r="C33" s="59" t="n">
        <v>0.8814</v>
      </c>
      <c r="D33" s="17" t="s">
        <v>1362</v>
      </c>
      <c r="E33" s="11" t="str">
        <f aca="false">IF(AND(03_Dashboard!$G$6="Todos",03_Dashboard!$K$6="Todos",03_Dashboard!$O$6="Todos",03_Dashboard!$B$6=02_Parâmetros!$B$46,03_Dashboard!$D$6=02_Parâmetros!$B$47),IF(ROUND(B33,4)=C33,"OK","Divergente"),"OK")</f>
        <v>OK</v>
      </c>
    </row>
    <row r="34" customFormat="false" ht="15" hidden="false" customHeight="false" outlineLevel="0" collapsed="false">
      <c r="A34" s="17" t="s">
        <v>1284</v>
      </c>
      <c r="B34" s="59" t="n">
        <f aca="false">03_Dashboard!$W$25</f>
        <v>3.30113636363636</v>
      </c>
      <c r="C34" s="59" t="n">
        <v>3.3011</v>
      </c>
      <c r="D34" s="17" t="s">
        <v>1362</v>
      </c>
      <c r="E34" s="11" t="str">
        <f aca="false">IF(AND(03_Dashboard!$G$6="Todos",03_Dashboard!$K$6="Todos",03_Dashboard!$O$6="Todos",03_Dashboard!$B$6=02_Parâmetros!$B$46,03_Dashboard!$D$6=02_Parâmetros!$B$47),IF(ROUND(B34,4)=C34,"OK","Divergente"),"OK")</f>
        <v>OK</v>
      </c>
    </row>
    <row r="35" customFormat="false" ht="15" hidden="false" customHeight="false" outlineLevel="0" collapsed="false">
      <c r="A35" s="17" t="s">
        <v>1257</v>
      </c>
      <c r="B35" s="59" t="n">
        <f aca="false">03_Dashboard!$W$22</f>
        <v>0.809302325581395</v>
      </c>
      <c r="C35" s="59" t="n">
        <v>0.8093</v>
      </c>
      <c r="D35" s="17" t="s">
        <v>1362</v>
      </c>
      <c r="E35" s="11" t="str">
        <f aca="false">IF(AND(03_Dashboard!$G$6="Todos",03_Dashboard!$K$6="Todos",03_Dashboard!$O$6="Todos",03_Dashboard!$B$6=02_Parâmetros!$B$46,03_Dashboard!$D$6=02_Parâmetros!$B$47),IF(ROUND(B35,4)=C35,"OK","Divergente"),"OK")</f>
        <v>OK</v>
      </c>
    </row>
    <row r="36" customFormat="false" ht="15" hidden="false" customHeight="false" outlineLevel="0" collapsed="false">
      <c r="A36" s="17" t="s">
        <v>1259</v>
      </c>
      <c r="B36" s="59" t="n">
        <f aca="false">03_Dashboard!$W$24</f>
        <v>0.757314974182444</v>
      </c>
      <c r="C36" s="59" t="n">
        <v>0.7573</v>
      </c>
      <c r="D36" s="17" t="s">
        <v>1362</v>
      </c>
      <c r="E36" s="11" t="str">
        <f aca="false">IF(AND(03_Dashboard!$G$6="Todos",03_Dashboard!$K$6="Todos",03_Dashboard!$O$6="Todos",03_Dashboard!$B$6=02_Parâmetros!$B$46,03_Dashboard!$D$6=02_Parâmetros!$B$47),IF(ROUND(B36,4)=C36,"OK","Divergente"),"OK")</f>
        <v>OK</v>
      </c>
    </row>
    <row r="38" customFormat="false" ht="15" hidden="false" customHeight="false" outlineLevel="0" collapsed="false">
      <c r="A38" s="7" t="s">
        <v>1363</v>
      </c>
    </row>
  </sheetData>
  <conditionalFormatting sqref="E6:E60">
    <cfRule type="cellIs" priority="2" operator="equal" aboveAverage="0" equalAverage="0" bottom="0" percent="0" rank="0" text="" dxfId="2">
      <formula>"OK"</formula>
    </cfRule>
    <cfRule type="cellIs" priority="3" operator="equal" aboveAverage="0" equalAverage="0" bottom="0" percent="0" rank="0" text="" dxfId="4">
      <formula>"Divergente"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2026-10-13T13:51:42Z</dcterms:created>
  <dc:creator>openpyxl</dc:creator>
  <dc:description/>
  <dc:language>en-US</dc:language>
  <cp:lastModifiedBy/>
  <dcterms:modified xsi:type="dcterms:W3CDTF">2026-10-13T13:51:47Z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